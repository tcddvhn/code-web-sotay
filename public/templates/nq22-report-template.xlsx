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tranhau/Documents/GitHub/"/>
    </mc:Choice>
  </mc:AlternateContent>
  <xr:revisionPtr revIDLastSave="0" documentId="8_{1B19E1AC-E797-4141-B025-561FD24A1C45}" xr6:coauthVersionLast="47" xr6:coauthVersionMax="47" xr10:uidLastSave="{00000000-0000-0000-0000-000000000000}"/>
  <bookViews>
    <workbookView xWindow="0" yWindow="0" windowWidth="28800" windowHeight="18000" tabRatio="788" activeTab="11" xr2:uid="{00000000-000D-0000-FFFF-FFFF00000000}"/>
  </bookViews>
  <sheets>
    <sheet name="1B" sheetId="47" r:id="rId1"/>
    <sheet name="1C" sheetId="29" r:id="rId2"/>
    <sheet name="1D" sheetId="44" r:id="rId3"/>
    <sheet name="2B" sheetId="22" r:id="rId4"/>
    <sheet name="2C" sheetId="43" r:id="rId5"/>
    <sheet name="3" sheetId="30" r:id="rId6"/>
    <sheet name="4B" sheetId="34" r:id="rId7"/>
    <sheet name="4C" sheetId="35" r:id="rId8"/>
    <sheet name="5A" sheetId="33" r:id="rId9"/>
    <sheet name="5B" sheetId="26" r:id="rId10"/>
    <sheet name="6" sheetId="37" r:id="rId11"/>
    <sheet name="7" sheetId="46" r:id="rId12"/>
    <sheet name="Sheet1" sheetId="45" r:id="rId13"/>
  </sheets>
  <definedNames>
    <definedName name="_xlnm._FilterDatabase" localSheetId="9" hidden="1">'5B'!$A$1:$B$4</definedName>
    <definedName name="_xlnm.Print_Area" localSheetId="0">'1B'!$A$1:$G$29</definedName>
    <definedName name="_xlnm.Print_Area" localSheetId="1">'1C'!$A$1:$L$66</definedName>
    <definedName name="_xlnm.Print_Area" localSheetId="2">'1D'!$A$1:$C$22</definedName>
    <definedName name="_xlnm.Print_Area" localSheetId="3">'2B'!$A$1:$K$20</definedName>
    <definedName name="_xlnm.Print_Area" localSheetId="4">'2C'!$A$1:$G$19</definedName>
    <definedName name="_xlnm.Print_Area" localSheetId="5">'3'!$A$1:$G$32</definedName>
    <definedName name="_xlnm.Print_Area" localSheetId="6">'4B'!$A$1:$D$31</definedName>
    <definedName name="_xlnm.Print_Area" localSheetId="7">'4C'!$A$1:$G$30</definedName>
    <definedName name="_xlnm.Print_Area" localSheetId="8">'5A'!$A$1:$O$52</definedName>
    <definedName name="_xlnm.Print_Area" localSheetId="9">'5B'!$A$1:$C$29</definedName>
    <definedName name="_xlnm.Print_Area" localSheetId="10">'6'!$A$1:$M$32</definedName>
    <definedName name="_xlnm.Print_Area" localSheetId="11">'7'!$A$1:$E$45</definedName>
    <definedName name="_xlnm.Print_Titles" localSheetId="0">'1B'!$5:$5</definedName>
    <definedName name="_xlnm.Print_Titles" localSheetId="3">'2B'!$6:$6</definedName>
    <definedName name="_xlnm.Print_Titles" localSheetId="11">'7'!$5:$6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2" i="46" l="1"/>
  <c r="B32" i="46"/>
  <c r="B30" i="46" s="1"/>
  <c r="D30" i="46"/>
  <c r="D22" i="46"/>
  <c r="B22" i="46"/>
  <c r="B20" i="46" s="1"/>
  <c r="D20" i="46"/>
  <c r="C14" i="46"/>
  <c r="D14" i="46"/>
  <c r="E14" i="46"/>
  <c r="B14" i="46"/>
  <c r="C8" i="46"/>
  <c r="D8" i="46"/>
  <c r="E8" i="46"/>
  <c r="B8" i="46"/>
  <c r="C10" i="35" l="1"/>
  <c r="D10" i="35"/>
  <c r="E10" i="35"/>
  <c r="F10" i="35"/>
  <c r="G10" i="35"/>
  <c r="B10" i="35"/>
  <c r="C15" i="35"/>
  <c r="C21" i="35" s="1"/>
  <c r="D15" i="35"/>
  <c r="D21" i="35" s="1"/>
  <c r="E15" i="35"/>
  <c r="F15" i="35"/>
  <c r="G15" i="35"/>
  <c r="G21" i="35" s="1"/>
  <c r="B15" i="35"/>
  <c r="B21" i="35"/>
  <c r="E43" i="33"/>
  <c r="F43" i="33"/>
  <c r="G43" i="33"/>
  <c r="H43" i="33"/>
  <c r="I43" i="33"/>
  <c r="J43" i="33"/>
  <c r="K43" i="33"/>
  <c r="L43" i="33"/>
  <c r="M43" i="33"/>
  <c r="N43" i="33"/>
  <c r="O43" i="33"/>
  <c r="D43" i="33"/>
  <c r="C43" i="33" s="1"/>
  <c r="E38" i="33"/>
  <c r="F38" i="33"/>
  <c r="G38" i="33"/>
  <c r="H38" i="33"/>
  <c r="I38" i="33"/>
  <c r="J38" i="33"/>
  <c r="K38" i="33"/>
  <c r="L38" i="33"/>
  <c r="M38" i="33"/>
  <c r="N38" i="33"/>
  <c r="O38" i="33"/>
  <c r="D38" i="33"/>
  <c r="E32" i="33"/>
  <c r="F32" i="33"/>
  <c r="G32" i="33"/>
  <c r="H32" i="33"/>
  <c r="I32" i="33"/>
  <c r="J32" i="33"/>
  <c r="K32" i="33"/>
  <c r="L32" i="33"/>
  <c r="M32" i="33"/>
  <c r="N32" i="33"/>
  <c r="O32" i="33"/>
  <c r="D32" i="33"/>
  <c r="E24" i="33"/>
  <c r="F24" i="33"/>
  <c r="G24" i="33"/>
  <c r="H24" i="33"/>
  <c r="I24" i="33"/>
  <c r="J24" i="33"/>
  <c r="K24" i="33"/>
  <c r="L24" i="33"/>
  <c r="M24" i="33"/>
  <c r="N24" i="33"/>
  <c r="O24" i="33"/>
  <c r="D24" i="33"/>
  <c r="E19" i="33"/>
  <c r="F19" i="33"/>
  <c r="G19" i="33"/>
  <c r="H19" i="33"/>
  <c r="I19" i="33"/>
  <c r="J19" i="33"/>
  <c r="K19" i="33"/>
  <c r="L19" i="33"/>
  <c r="M19" i="33"/>
  <c r="N19" i="33"/>
  <c r="O19" i="33"/>
  <c r="D19" i="33"/>
  <c r="C19" i="33" s="1"/>
  <c r="E13" i="33"/>
  <c r="F13" i="33"/>
  <c r="G13" i="33"/>
  <c r="H13" i="33"/>
  <c r="I13" i="33"/>
  <c r="J13" i="33"/>
  <c r="K13" i="33"/>
  <c r="L13" i="33"/>
  <c r="M13" i="33"/>
  <c r="N13" i="33"/>
  <c r="O13" i="33"/>
  <c r="D13" i="33"/>
  <c r="C13" i="33" s="1"/>
  <c r="C10" i="33"/>
  <c r="C11" i="33"/>
  <c r="C12" i="33"/>
  <c r="C14" i="33"/>
  <c r="C15" i="33"/>
  <c r="C16" i="33"/>
  <c r="C17" i="33"/>
  <c r="C18" i="33"/>
  <c r="C20" i="33"/>
  <c r="C21" i="33"/>
  <c r="C22" i="33"/>
  <c r="C23" i="33"/>
  <c r="C25" i="33"/>
  <c r="C26" i="33"/>
  <c r="C27" i="33"/>
  <c r="C28" i="33"/>
  <c r="C29" i="33"/>
  <c r="C30" i="33"/>
  <c r="C31" i="33"/>
  <c r="C33" i="33"/>
  <c r="C34" i="33"/>
  <c r="C35" i="33"/>
  <c r="C36" i="33"/>
  <c r="C37" i="33"/>
  <c r="C39" i="33"/>
  <c r="C40" i="33"/>
  <c r="C41" i="33"/>
  <c r="C42" i="33"/>
  <c r="C44" i="33"/>
  <c r="C45" i="33"/>
  <c r="C46" i="33"/>
  <c r="C9" i="33"/>
  <c r="C9" i="26"/>
  <c r="B9" i="26"/>
  <c r="C14" i="26"/>
  <c r="B14" i="26"/>
  <c r="B20" i="26" s="1"/>
  <c r="M17" i="37"/>
  <c r="L17" i="37"/>
  <c r="K17" i="37"/>
  <c r="J17" i="37"/>
  <c r="I17" i="37"/>
  <c r="H17" i="37"/>
  <c r="G17" i="37"/>
  <c r="F17" i="37"/>
  <c r="E17" i="37"/>
  <c r="D17" i="37"/>
  <c r="C17" i="37"/>
  <c r="B17" i="37"/>
  <c r="M12" i="37"/>
  <c r="M23" i="37" s="1"/>
  <c r="L12" i="37"/>
  <c r="L23" i="37" s="1"/>
  <c r="K12" i="37"/>
  <c r="K23" i="37" s="1"/>
  <c r="J12" i="37"/>
  <c r="J23" i="37" s="1"/>
  <c r="I12" i="37"/>
  <c r="I23" i="37" s="1"/>
  <c r="H12" i="37"/>
  <c r="H23" i="37" s="1"/>
  <c r="G12" i="37"/>
  <c r="G23" i="37" s="1"/>
  <c r="F12" i="37"/>
  <c r="F23" i="37" s="1"/>
  <c r="E12" i="37"/>
  <c r="E23" i="37" s="1"/>
  <c r="D12" i="37"/>
  <c r="D23" i="37" s="1"/>
  <c r="C12" i="37"/>
  <c r="C23" i="37" s="1"/>
  <c r="B12" i="37"/>
  <c r="B23" i="37" s="1"/>
  <c r="E23" i="30"/>
  <c r="B23" i="30"/>
  <c r="E22" i="30"/>
  <c r="B22" i="30"/>
  <c r="E21" i="30"/>
  <c r="B21" i="30"/>
  <c r="E20" i="30"/>
  <c r="B20" i="30"/>
  <c r="E19" i="30"/>
  <c r="B19" i="30"/>
  <c r="G18" i="30"/>
  <c r="F18" i="30"/>
  <c r="E18" i="30"/>
  <c r="D18" i="30"/>
  <c r="C18" i="30"/>
  <c r="E17" i="30"/>
  <c r="B17" i="30"/>
  <c r="E16" i="30"/>
  <c r="B16" i="30"/>
  <c r="E15" i="30"/>
  <c r="B15" i="30"/>
  <c r="E14" i="30"/>
  <c r="B14" i="30"/>
  <c r="G13" i="30"/>
  <c r="G24" i="30" s="1"/>
  <c r="F13" i="30"/>
  <c r="E13" i="30" s="1"/>
  <c r="D13" i="30"/>
  <c r="C13" i="30"/>
  <c r="C24" i="30" s="1"/>
  <c r="E12" i="30"/>
  <c r="B12" i="30"/>
  <c r="E11" i="30"/>
  <c r="B11" i="30"/>
  <c r="E10" i="30"/>
  <c r="B10" i="30"/>
  <c r="C12" i="44"/>
  <c r="B12" i="44"/>
  <c r="C40" i="29"/>
  <c r="B40" i="29" s="1"/>
  <c r="F57" i="29"/>
  <c r="B57" i="29"/>
  <c r="F56" i="29"/>
  <c r="B56" i="29"/>
  <c r="F55" i="29"/>
  <c r="B55" i="29"/>
  <c r="F54" i="29"/>
  <c r="B54" i="29"/>
  <c r="F53" i="29"/>
  <c r="B53" i="29"/>
  <c r="F52" i="29"/>
  <c r="B52" i="29"/>
  <c r="F51" i="29"/>
  <c r="B51" i="29"/>
  <c r="F50" i="29"/>
  <c r="B50" i="29"/>
  <c r="L49" i="29"/>
  <c r="K49" i="29"/>
  <c r="J49" i="29"/>
  <c r="I49" i="29"/>
  <c r="H49" i="29"/>
  <c r="F49" i="29" s="1"/>
  <c r="G49" i="29"/>
  <c r="E49" i="29"/>
  <c r="D49" i="29"/>
  <c r="C49" i="29"/>
  <c r="F48" i="29"/>
  <c r="B48" i="29"/>
  <c r="F47" i="29"/>
  <c r="B47" i="29"/>
  <c r="F46" i="29"/>
  <c r="B46" i="29"/>
  <c r="F45" i="29"/>
  <c r="B45" i="29"/>
  <c r="F44" i="29"/>
  <c r="B44" i="29"/>
  <c r="F43" i="29"/>
  <c r="B43" i="29"/>
  <c r="F42" i="29"/>
  <c r="B42" i="29"/>
  <c r="F41" i="29"/>
  <c r="B41" i="29"/>
  <c r="L40" i="29"/>
  <c r="L58" i="29" s="1"/>
  <c r="K40" i="29"/>
  <c r="K58" i="29" s="1"/>
  <c r="J40" i="29"/>
  <c r="J58" i="29" s="1"/>
  <c r="I40" i="29"/>
  <c r="I58" i="29" s="1"/>
  <c r="H40" i="29"/>
  <c r="H58" i="29" s="1"/>
  <c r="G40" i="29"/>
  <c r="F40" i="29" s="1"/>
  <c r="E40" i="29"/>
  <c r="E58" i="29" s="1"/>
  <c r="D40" i="29"/>
  <c r="D58" i="29" s="1"/>
  <c r="F39" i="29"/>
  <c r="B39" i="29"/>
  <c r="F38" i="29"/>
  <c r="B38" i="29"/>
  <c r="F37" i="29"/>
  <c r="B37" i="29"/>
  <c r="F36" i="29"/>
  <c r="B36" i="29"/>
  <c r="F35" i="29"/>
  <c r="B35" i="29"/>
  <c r="D15" i="29"/>
  <c r="E15" i="29"/>
  <c r="G15" i="29"/>
  <c r="F15" i="29" s="1"/>
  <c r="H15" i="29"/>
  <c r="I15" i="29"/>
  <c r="J15" i="29"/>
  <c r="K15" i="29"/>
  <c r="L15" i="29"/>
  <c r="C15" i="29"/>
  <c r="B15" i="29" s="1"/>
  <c r="D24" i="29"/>
  <c r="E24" i="29"/>
  <c r="E33" i="29" s="1"/>
  <c r="G24" i="29"/>
  <c r="F24" i="29" s="1"/>
  <c r="H24" i="29"/>
  <c r="I24" i="29"/>
  <c r="J24" i="29"/>
  <c r="K24" i="29"/>
  <c r="L24" i="29"/>
  <c r="C24" i="29"/>
  <c r="D33" i="29"/>
  <c r="H33" i="29"/>
  <c r="I33" i="29"/>
  <c r="L33" i="29"/>
  <c r="F11" i="29"/>
  <c r="F12" i="29"/>
  <c r="F13" i="29"/>
  <c r="F14" i="29"/>
  <c r="F16" i="29"/>
  <c r="F17" i="29"/>
  <c r="F18" i="29"/>
  <c r="F19" i="29"/>
  <c r="F20" i="29"/>
  <c r="F21" i="29"/>
  <c r="F22" i="29"/>
  <c r="F23" i="29"/>
  <c r="F25" i="29"/>
  <c r="F26" i="29"/>
  <c r="F27" i="29"/>
  <c r="F28" i="29"/>
  <c r="F29" i="29"/>
  <c r="F30" i="29"/>
  <c r="F31" i="29"/>
  <c r="F32" i="29"/>
  <c r="B20" i="29"/>
  <c r="B21" i="29"/>
  <c r="B22" i="29"/>
  <c r="B23" i="29"/>
  <c r="B25" i="29"/>
  <c r="B26" i="29"/>
  <c r="B27" i="29"/>
  <c r="B28" i="29"/>
  <c r="B29" i="29"/>
  <c r="B30" i="29"/>
  <c r="B31" i="29"/>
  <c r="B32" i="29"/>
  <c r="B11" i="29"/>
  <c r="B12" i="29"/>
  <c r="B13" i="29"/>
  <c r="B14" i="29"/>
  <c r="B16" i="29"/>
  <c r="B17" i="29"/>
  <c r="B18" i="29"/>
  <c r="B19" i="29"/>
  <c r="F10" i="29"/>
  <c r="B10" i="29"/>
  <c r="J32" i="46"/>
  <c r="I32" i="46"/>
  <c r="H32" i="46"/>
  <c r="G32" i="46"/>
  <c r="J30" i="46"/>
  <c r="I30" i="46"/>
  <c r="H30" i="46"/>
  <c r="G30" i="46"/>
  <c r="J22" i="46"/>
  <c r="I22" i="46"/>
  <c r="H22" i="46"/>
  <c r="G22" i="46"/>
  <c r="J20" i="46"/>
  <c r="I20" i="46"/>
  <c r="H20" i="46"/>
  <c r="G20" i="46"/>
  <c r="J14" i="46"/>
  <c r="I14" i="46"/>
  <c r="H14" i="46"/>
  <c r="G14" i="46"/>
  <c r="J8" i="46"/>
  <c r="I8" i="46"/>
  <c r="H8" i="46"/>
  <c r="G8" i="46"/>
  <c r="C38" i="33" l="1"/>
  <c r="E21" i="35"/>
  <c r="F21" i="35"/>
  <c r="B18" i="30"/>
  <c r="B13" i="30"/>
  <c r="C33" i="29"/>
  <c r="B49" i="29"/>
  <c r="B58" i="29" s="1"/>
  <c r="E24" i="30"/>
  <c r="B24" i="30"/>
  <c r="C32" i="33"/>
  <c r="C24" i="33"/>
  <c r="C20" i="26"/>
  <c r="D45" i="30"/>
  <c r="C45" i="30"/>
  <c r="D24" i="30"/>
  <c r="F24" i="30"/>
  <c r="B45" i="30"/>
  <c r="F58" i="29"/>
  <c r="C58" i="29"/>
  <c r="G58" i="29"/>
  <c r="K33" i="29"/>
  <c r="J33" i="29"/>
  <c r="G33" i="29"/>
  <c r="B24" i="29"/>
  <c r="B33" i="29" s="1"/>
  <c r="F33" i="29"/>
  <c r="G45" i="30"/>
  <c r="F45" i="30"/>
  <c r="G44" i="30"/>
  <c r="F44" i="30"/>
  <c r="E44" i="30"/>
  <c r="G43" i="30"/>
  <c r="F43" i="30"/>
  <c r="E43" i="30"/>
  <c r="G42" i="30"/>
  <c r="F42" i="30"/>
  <c r="E42" i="30"/>
  <c r="G41" i="30"/>
  <c r="F41" i="30"/>
  <c r="E41" i="30"/>
  <c r="D44" i="30"/>
  <c r="C44" i="30"/>
  <c r="B44" i="30"/>
  <c r="D43" i="30"/>
  <c r="C43" i="30"/>
  <c r="B43" i="30"/>
  <c r="D42" i="30"/>
  <c r="C42" i="30"/>
  <c r="B42" i="30"/>
  <c r="D41" i="30"/>
  <c r="C41" i="30"/>
  <c r="B41" i="30"/>
  <c r="E45" i="30" l="1"/>
  <c r="A8" i="22"/>
  <c r="A9" i="22" s="1"/>
  <c r="A10" i="22" s="1"/>
</calcChain>
</file>

<file path=xl/sharedStrings.xml><?xml version="1.0" encoding="utf-8"?>
<sst xmlns="http://schemas.openxmlformats.org/spreadsheetml/2006/main" count="505" uniqueCount="267">
  <si>
    <t>ĐẢNG CỘNG SẢN VIỆT NAM</t>
  </si>
  <si>
    <t>STT</t>
  </si>
  <si>
    <t>Quân đội</t>
  </si>
  <si>
    <t>Công an</t>
  </si>
  <si>
    <t>*</t>
  </si>
  <si>
    <t>Trong đó</t>
  </si>
  <si>
    <t>Chỉ tiêu</t>
  </si>
  <si>
    <t>Chi bộ có trên 100 đảng viên</t>
  </si>
  <si>
    <t>NGƯỜI LẬP BIỂU</t>
  </si>
  <si>
    <t>DUYỆT BIỂU</t>
  </si>
  <si>
    <t>Doanh nghiệp có vốn Nhà nước</t>
  </si>
  <si>
    <t>Hợp tác xã</t>
  </si>
  <si>
    <t>Chi bộ có từ 03 đến 05 đảng viên</t>
  </si>
  <si>
    <t>Chi bộ có từ 06 đến 09 đảng viên</t>
  </si>
  <si>
    <t>Khu vực I</t>
  </si>
  <si>
    <t>Khu vực II</t>
  </si>
  <si>
    <t>Khu vực III</t>
  </si>
  <si>
    <t>Số xã</t>
  </si>
  <si>
    <t>Số thôn, bản, ấp…</t>
  </si>
  <si>
    <t>Số thôn, bản, ấp … chưa có chi bộ</t>
  </si>
  <si>
    <t>Số thôn, bản, ấp … chưa có đảng viên</t>
  </si>
  <si>
    <t>Năm 2022</t>
  </si>
  <si>
    <t>Tính đến 31/3/2026</t>
  </si>
  <si>
    <t>Tổng số</t>
  </si>
  <si>
    <t>Chi bộ 
cơ sở</t>
  </si>
  <si>
    <t>Tổng số đảng viên</t>
  </si>
  <si>
    <t>1. Thôn, tổ dân phố</t>
  </si>
  <si>
    <t>a) Công lập</t>
  </si>
  <si>
    <t>b) Ngoài công lập</t>
  </si>
  <si>
    <t>a) Doanh nghiệp có vốn Nhà nước</t>
  </si>
  <si>
    <t>b) Doanh nghiệp ngoài khu vực Nhà nước</t>
  </si>
  <si>
    <t>c) Hợp tác xã</t>
  </si>
  <si>
    <t>Cộng (1+….+9)</t>
  </si>
  <si>
    <t>(Ký, ghi rõ họ và tên; số điện thoại di động 
và cố định liên hệ)</t>
  </si>
  <si>
    <t>(Ký, đóng dấu, ghi rõ họ và tên)</t>
  </si>
  <si>
    <t>(4)</t>
  </si>
  <si>
    <t>(7.a)</t>
  </si>
  <si>
    <t>(7.b)</t>
  </si>
  <si>
    <t>(7)</t>
  </si>
  <si>
    <t>TS</t>
  </si>
  <si>
    <t>2 (=3+4)</t>
  </si>
  <si>
    <t>Đến 31/12/2022</t>
  </si>
  <si>
    <t>Tiêu chí</t>
  </si>
  <si>
    <t>- Sinh viên</t>
  </si>
  <si>
    <t>- Học sinh</t>
  </si>
  <si>
    <r>
      <t>IV. Xóa tên</t>
    </r>
    <r>
      <rPr>
        <sz val="10"/>
        <rFont val="Times New Roman"/>
        <family val="1"/>
      </rPr>
      <t>, trong đó:</t>
    </r>
  </si>
  <si>
    <t>- Đảng viên bỏ sinh hoạt đảng hoặc không đóng đảng phí ba tháng trong năm mà không có lý do chính đáng</t>
  </si>
  <si>
    <t>- Đảng viên tự ý trả thẻ đảng viên hoặc tự hủy thẻ đảng viên</t>
  </si>
  <si>
    <t>- Đảng viên giảm sút ý chí phấn đấu, không thực hiện nhiệm vụ đảng viên, đã được chi bộ giáo dục nhưng sau 12 tháng phấn đấu không tiến bộ</t>
  </si>
  <si>
    <t>- Đảng viên hai năm liền vi phạm tư cách đảng viên</t>
  </si>
  <si>
    <t>- Đảng viên không bảo đảm tiêu chuẩn chính trị theo quy định của Bộ Chính trị</t>
  </si>
  <si>
    <t xml:space="preserve">- Cán bộ, công chức </t>
  </si>
  <si>
    <t>- Bộ đội xuất ngũ</t>
  </si>
  <si>
    <t>- Đối tượng khác</t>
  </si>
  <si>
    <r>
      <rPr>
        <i/>
        <u/>
        <sz val="10"/>
        <rFont val="Times New Roman"/>
        <family val="1"/>
      </rPr>
      <t>Ghi chú</t>
    </r>
    <r>
      <rPr>
        <i/>
        <sz val="10"/>
        <rFont val="Times New Roman"/>
        <family val="1"/>
      </rPr>
      <t>: Số liệu thống kê về đảng viên, đảng viên mới kết nạp tại Biểu 2 phải bằng số liệu thống kê về đảng viên, đảng viên mới kết nạp tại Biểu 1.</t>
    </r>
  </si>
  <si>
    <t>……., ngày    tháng     năm 2026</t>
  </si>
  <si>
    <t>Đến 30/6/2025</t>
  </si>
  <si>
    <t>VI. Tổng số đảng viên được miễn công tác và sinh hoạt đảng</t>
  </si>
  <si>
    <r>
      <t>V. Xin ra khỏi Đảng</t>
    </r>
    <r>
      <rPr>
        <sz val="10"/>
        <rFont val="Times New Roman"/>
        <family val="1"/>
      </rPr>
      <t>, trong đó:</t>
    </r>
  </si>
  <si>
    <t>- Do phải điều trị bệnh dài ngày hoặc điều trị bệnh ở xa nơi cư trú</t>
  </si>
  <si>
    <t>- Ra nước ngoài làm nhiệm vụ đơn lẻ, vì việc riêng như du lịch, chữa bệnh... </t>
  </si>
  <si>
    <t>- Đi lao động đơn lẻ, ở vùng xa, không có tổ chức Đảng hoặc điều kiện đi lại khó khăn, không thể tham gia sinh hoạt Đảng</t>
  </si>
  <si>
    <t>- Đảng viên đi làm việc lưu động ở các địa phương, đơn vị trong nước thời gian dưới 1 năm, việc làm không ổn định, hoặc ở những nơi chưa có tổ chức đảng, không có điều kiện về tham gia sinh hoạt chi bộ theo quy định</t>
  </si>
  <si>
    <t>- Đảng viên là cán bộ, công chức nghỉ công tác chờ đến tuổi nghỉ hưu theo chế độ của Nhà nước có nguyện vọng được miễn sinh hoạt đảng trong thời gian nghỉ chờ quyết định nghỉ hưu</t>
  </si>
  <si>
    <t>- Đảng viên nữ trong thời gian sinh con theo quy định của Luật Lao động có nguyện vọng miễn sinh hoạt đảng</t>
  </si>
  <si>
    <t>- Trường hợp khác (nếu có ghi rõ)</t>
  </si>
  <si>
    <t>1. Đảng viên được miễn công tác và sinh hoạt đảng vì tuổi cao, sức yếu</t>
  </si>
  <si>
    <r>
      <t xml:space="preserve">2. Đảng viên được miễn công tác và sinh hoạt đảng không vì lý do tuổi cao, sức yếu, </t>
    </r>
    <r>
      <rPr>
        <i/>
        <sz val="10"/>
        <rFont val="Times New Roman"/>
        <family val="1"/>
      </rPr>
      <t>trong đó:</t>
    </r>
  </si>
  <si>
    <t>VII. Tổng số đảng viên đi làm ăn xa nơi cư trú</t>
  </si>
  <si>
    <t>1. Đảng viên chưa được xét miễn công tác và sinh hoạt đảng</t>
  </si>
  <si>
    <r>
      <t>2. Đảng viên được xét miễn công tác và sinh hoạt đảng theo</t>
    </r>
    <r>
      <rPr>
        <i/>
        <sz val="10"/>
        <rFont val="Times New Roman"/>
        <family val="1"/>
      </rPr>
      <t>, trong đó:</t>
    </r>
  </si>
  <si>
    <t>- Miễn 1 lần</t>
  </si>
  <si>
    <t>- Miễn 2 lần</t>
  </si>
  <si>
    <t>- Miễn 3 lần trở lên</t>
  </si>
  <si>
    <t>Đảng bộ 
cơ sở</t>
  </si>
  <si>
    <t>Trong đó: trực thuộc đảng ủy cấp xã</t>
  </si>
  <si>
    <t>2. Cơ quan Đảng, MTTQ, tổ chức CT-XH</t>
  </si>
  <si>
    <t>3. Cơ quan Nhà nước</t>
  </si>
  <si>
    <t>5. Quân đội</t>
  </si>
  <si>
    <t>6. Công an</t>
  </si>
  <si>
    <t>8. Tổ chức cơ sở đảng ở ngoài nước</t>
  </si>
  <si>
    <t>Doanh nghiệp ngoài khu vực Nhà nước</t>
  </si>
  <si>
    <t>Đơn vị sự nghiệp công lập</t>
  </si>
  <si>
    <t>Đơn vị sự nghiệp ngoài công lập</t>
  </si>
  <si>
    <t>Đảng viên mới kết nạp</t>
  </si>
  <si>
    <t>Chi bộ có từ 10 đến dưới 30 đảng viên</t>
  </si>
  <si>
    <t>Chi bộ có từ 30 đến 100 đảng viên</t>
  </si>
  <si>
    <t>Tổ đảng</t>
  </si>
  <si>
    <t>Loại hình tổ chức cơ sở đảng</t>
  </si>
  <si>
    <t>THỐNG KÊ CÁC LOẠI HÌNH CHI BỘ</t>
  </si>
  <si>
    <t>Chi bộ cơ sở</t>
  </si>
  <si>
    <t xml:space="preserve">Chi bộ trực thuộc Đảng ủy cấp trên trực tiếp cơ sở/ Đảng ủy cơ sở/ Đảng ủy bộ phận </t>
  </si>
  <si>
    <t>Chi bộ có từ 10 đảng viên trở lên</t>
  </si>
  <si>
    <t>2=3+4+5</t>
  </si>
  <si>
    <t>6=7+8+9+10+11</t>
  </si>
  <si>
    <t>THỐNG KÊ TỔ CHỨC ĐẢNG TRIỂN KHAI MÔ HÌNH "CHI BỘ BỐN TỐT", "ĐẢNG BỘ BỐN TỐT"</t>
  </si>
  <si>
    <t>Chi bộ bốn tốt</t>
  </si>
  <si>
    <t>5 (=6+7)</t>
  </si>
  <si>
    <t>Loại hình chi bộ</t>
  </si>
  <si>
    <t>Cộng</t>
  </si>
  <si>
    <t>, ngày   tháng   năm 2026</t>
  </si>
  <si>
    <t>7. Doanh nghiệp và hợp tác xã</t>
  </si>
  <si>
    <t>Biểu số 3</t>
  </si>
  <si>
    <t>Loại hình</t>
  </si>
  <si>
    <t>Tổng số</t>
  </si>
  <si>
    <t>Cấp ủy cơ sở</t>
  </si>
  <si>
    <t>1.1</t>
  </si>
  <si>
    <t>Trình độ chuyên môn</t>
  </si>
  <si>
    <t>Sau đại học</t>
  </si>
  <si>
    <t>Đại học, cao đẳng</t>
  </si>
  <si>
    <t>Trung cấp</t>
  </si>
  <si>
    <t>Sơ cấp, Chưa qua đào tạo</t>
  </si>
  <si>
    <t>1.2</t>
  </si>
  <si>
    <t>Trình độ lý luận chính trị</t>
  </si>
  <si>
    <t>Cao cấp, cử nhân</t>
  </si>
  <si>
    <t>Bí thư cấp ủy cơ sở</t>
  </si>
  <si>
    <t>2.1</t>
  </si>
  <si>
    <t>2.2</t>
  </si>
  <si>
    <t>Cơ quan Đảng, MTTQ, tổ chức CT-XH</t>
  </si>
  <si>
    <t>Cơ quan Nhà nước</t>
  </si>
  <si>
    <t>Tổ chức cơ sở đảng ở ngoài nước</t>
  </si>
  <si>
    <t xml:space="preserve"> Loại hình tổ chức cơ sở đảng khác</t>
  </si>
  <si>
    <t>THỐNG KÊ TRÌNH ĐỘ CẤP ỦY, BÍ THƯ CẤP ỦY CƠ SỞ NHIỆM KỲ 2025 - 2030</t>
  </si>
  <si>
    <t>Thôn, tổ dân phố (Nếu có)</t>
  </si>
  <si>
    <t>Dân tộc thiểu số</t>
  </si>
  <si>
    <t>Tôn giáo</t>
  </si>
  <si>
    <t>Nữ</t>
  </si>
  <si>
    <t>1.3</t>
  </si>
  <si>
    <t>1.4</t>
  </si>
  <si>
    <t>1.5</t>
  </si>
  <si>
    <t>-</t>
  </si>
  <si>
    <t>2.3</t>
  </si>
  <si>
    <t xml:space="preserve">Tuổi đời </t>
  </si>
  <si>
    <t>Dưới 40 tuổi</t>
  </si>
  <si>
    <t xml:space="preserve">Từ 41 đến 45 tuổi </t>
  </si>
  <si>
    <t xml:space="preserve">Từ 46 đến 50 tuổi </t>
  </si>
  <si>
    <t xml:space="preserve">Từ 51 đến 55 tuổi </t>
  </si>
  <si>
    <t>Trên 55 tuổi</t>
  </si>
  <si>
    <t>1.6</t>
  </si>
  <si>
    <t>THỐNG KÊ</t>
  </si>
  <si>
    <t>Chi bộ 
trực thuộc</t>
  </si>
  <si>
    <t>I. Tính chất đặc thù</t>
  </si>
  <si>
    <t>1. Có đảng viên sinh sống, công tác, lao động phân tán, gồm:</t>
  </si>
  <si>
    <t>- Ở nước ngoài</t>
  </si>
  <si>
    <t>- Ở nhiều tỉnh, thành phố trực thuộc Trung ương</t>
  </si>
  <si>
    <t>- Có đảng viên sinh sống, công tác, lao động không thường xuyên, không liên tục ở cùng một địa điểm</t>
  </si>
  <si>
    <t>- Có đảng viên đi làm ăn xa</t>
  </si>
  <si>
    <t>- Có đảng viên là sinh viên trong thời gian nghỉ hè</t>
  </si>
  <si>
    <t>2. Đảng viên thực hiện nhiệm vụ không thể rời vị trí công tác, gồm:</t>
  </si>
  <si>
    <t>- Đơn vị lực lượng vũ trang</t>
  </si>
  <si>
    <t>- Đơn vị y tế</t>
  </si>
  <si>
    <t>- Đơn vị kiểm lâm</t>
  </si>
  <si>
    <t>- Có đảng viên là thuyền viên làm việc trên tàu tuyến quốc tế</t>
  </si>
  <si>
    <t>- Có đảng viên làm việc ở các công trình biển, hải đảo</t>
  </si>
  <si>
    <t>II. Hoàn cảnh đặc biệt</t>
  </si>
  <si>
    <t>- Ở nơi bị thiên tai, địa bàn bị cô lập, kéo dài</t>
  </si>
  <si>
    <t>- Ở nơi bị dịch bệnh phải cách ly, giãn cách xã hội, không được tập trung đông người</t>
  </si>
  <si>
    <t>Biểu số 4B</t>
  </si>
  <si>
    <t>Số chi bộ thực hiện sinh hoạt tổ đảng</t>
  </si>
  <si>
    <t>Lý do lựa chọn sinh hoạt theo tổ đảng</t>
  </si>
  <si>
    <t>Từ 50-100 đảng viên</t>
  </si>
  <si>
    <t>Từ 100 - 200 đảng viên</t>
  </si>
  <si>
    <t>Trên 200 đảng viên</t>
  </si>
  <si>
    <t>Khó khăn về địa điểm sinh hoạt toàn thể</t>
  </si>
  <si>
    <t>Lý do 
khác</t>
  </si>
  <si>
    <t>Biểu số 4C</t>
  </si>
  <si>
    <t>9. Loại hình tổ chức cơ sở đảng khác</t>
  </si>
  <si>
    <t>THỐNG KÊ SỐ TỔ CHỨC ĐẢNG THỰC HIỆN THÍ ĐIỂM SINH HOẠT ĐẢNG THEO TỔ ĐẢNG
theo Hướng dẫn số 03-HD/TW, ngày 27/12/2022 của Ban Bí thư</t>
  </si>
  <si>
    <t>Biểu số 2B</t>
  </si>
  <si>
    <t>Chương trình, hình thức đào tạo, bồi dưỡng</t>
  </si>
  <si>
    <t>Đào tạo chuyên môn</t>
  </si>
  <si>
    <t>Đào tạo lý luận chính trị</t>
  </si>
  <si>
    <t>Bồi dưỡng nghiệp vụ</t>
  </si>
  <si>
    <t>Sau đại học</t>
  </si>
  <si>
    <t>Đại học, 
cao đẳng</t>
  </si>
  <si>
    <t>Trung cấp</t>
  </si>
  <si>
    <t>Cử nhân, cao cấp</t>
  </si>
  <si>
    <t>Nghiệp vụ xây dựng Đảng</t>
  </si>
  <si>
    <t>Nghiệp vụ đoàn thể chính trị</t>
  </si>
  <si>
    <t>Quản lý nhà nước</t>
  </si>
  <si>
    <t>Ngoại ngữ</t>
  </si>
  <si>
    <t>Tin học</t>
  </si>
  <si>
    <t>Bồi dưỡng, cập nhật kiến thức, kỹ năng</t>
  </si>
  <si>
    <t>Quốc phòng - An ninh</t>
  </si>
  <si>
    <t>Biểu số 7</t>
  </si>
  <si>
    <r>
      <t>4. Đơn vị sự nghiệp</t>
    </r>
    <r>
      <rPr>
        <i/>
        <sz val="12"/>
        <rFont val="Times New Roman"/>
        <family val="1"/>
      </rPr>
      <t xml:space="preserve"> </t>
    </r>
  </si>
  <si>
    <r>
      <t xml:space="preserve">9. Loại hình tổ chức cơ sở đảng khác 
</t>
    </r>
    <r>
      <rPr>
        <i/>
        <sz val="12"/>
        <rFont val="Times New Roman"/>
        <family val="1"/>
      </rPr>
      <t>(Ghi cụ thể loại hình cơ sở khác)</t>
    </r>
  </si>
  <si>
    <r>
      <t>4. Đơn vị sự nghiệp</t>
    </r>
    <r>
      <rPr>
        <i/>
        <sz val="12"/>
        <rFont val="Times New Roman"/>
        <family val="1"/>
      </rPr>
      <t xml:space="preserve"> (4=a+b)</t>
    </r>
  </si>
  <si>
    <r>
      <t>7. Doanh nghiệp và hợp tác xã</t>
    </r>
    <r>
      <rPr>
        <i/>
        <sz val="12"/>
        <rFont val="Times New Roman"/>
        <family val="1"/>
      </rPr>
      <t xml:space="preserve"> (7=a+b+c)</t>
    </r>
  </si>
  <si>
    <t>1. Xã, phường, thị trấn</t>
  </si>
  <si>
    <t xml:space="preserve">THỐNG KÊ TỔ CHỨC ĐẢNG, ĐẢNG VIÊN 
Ở CÁC XÃ THUỘC VÙNG ĐỒNG BÀO DÂN TỘC THIỂU SỐ VÀ MIỀN NÚI
</t>
  </si>
  <si>
    <t>Ghi chú:</t>
  </si>
  <si>
    <t xml:space="preserve">Thống kê số liệu ở các xã theo Quyết định số 861/QĐ-TTg của Thủ tướng Chính phủ Phê duyệt danh sách các xã khu vực III, khu vực II, khu vực I thuộc vùng đồng bào dân tộc thiểu số và miền núi giai đoạn 2021 - 2025 và Quyết định số 698/QĐ-TTg của Thủ tướng Chính phủ Phê duyệt điều chỉnh, bổ sung và hiệu chỉnh danh sách xã khu vực III, khu vực II, khu vực I thuộc vùng đồng bằng dân tộc thiểu số và miền núi giai đoạn 2021-2025. </t>
  </si>
  <si>
    <t xml:space="preserve">Số lượng tổ chức đảng đã triển khai thực hiện </t>
  </si>
  <si>
    <t>Kết quả số lượng tổ chức đảng được công nhận</t>
  </si>
  <si>
    <t>Đảng bộ bốn tốt</t>
  </si>
  <si>
    <r>
      <rPr>
        <b/>
        <sz val="12"/>
        <rFont val="Times New Roman"/>
        <family val="1"/>
      </rPr>
      <t xml:space="preserve">Ghi chú: </t>
    </r>
    <r>
      <rPr>
        <sz val="12"/>
        <rFont val="Times New Roman"/>
        <family val="1"/>
      </rPr>
      <t>Sinh hoạt thường kỳ: Không tính các cuộc họp đột xuất của chi bộ.</t>
    </r>
  </si>
  <si>
    <t>1. Cơ quan Đảng, MTTQ, tổ chức CT-XH</t>
  </si>
  <si>
    <t>2. Cơ quan Nhà nước</t>
  </si>
  <si>
    <r>
      <t>3. Đơn vị sự nghiệp</t>
    </r>
    <r>
      <rPr>
        <i/>
        <sz val="12"/>
        <rFont val="Times New Roman"/>
        <family val="1"/>
      </rPr>
      <t xml:space="preserve"> </t>
    </r>
  </si>
  <si>
    <t>4. Quân đội</t>
  </si>
  <si>
    <t>5. Công an</t>
  </si>
  <si>
    <t>6. Doanh nghiệp và hợp tác xã</t>
  </si>
  <si>
    <t>7. Tổ chức cơ sở đảng ở ngoài nước</t>
  </si>
  <si>
    <t>8. Loại hình tổ chức cơ sở đảng khác</t>
  </si>
  <si>
    <t>Số lượng bí thư cấp ủy đồng thời là thủ trưởng cơ quan, đơn vị của các tổ chức cơ sở đảng</t>
  </si>
  <si>
    <t>1. Tổ chức đảng ở đặc khu</t>
  </si>
  <si>
    <t>2. Tổ chức đảng ở khu vực miền núi, vùng sâu, vùng xa</t>
  </si>
  <si>
    <t>3. Tổ chức đảng ở các tổ chức, cơ quan, đơn vị có trụ sở chi nhánh, văn phòng đại diện đóng trên địa bàn nhiều tỉnh, thành phố khác nhau</t>
  </si>
  <si>
    <t>4. Tổ chức đảng có đảng viên phải thực hiện nhiệm vụ trong điều kiện không thể rời vị trí công tác (lực lượng vũ trang, y tế, kiểm lâm, kiểm toán…)</t>
  </si>
  <si>
    <t>Biểu số 2C</t>
  </si>
  <si>
    <r>
      <rPr>
        <b/>
        <sz val="14"/>
        <rFont val="Times New Roman"/>
        <family val="1"/>
      </rPr>
      <t xml:space="preserve">THỐNG KÊ </t>
    </r>
    <r>
      <rPr>
        <b/>
        <sz val="11.5"/>
        <rFont val="Times New Roman"/>
        <family val="1"/>
      </rPr>
      <t xml:space="preserve">
</t>
    </r>
    <r>
      <rPr>
        <b/>
        <sz val="12"/>
        <rFont val="Times New Roman"/>
        <family val="1"/>
      </rPr>
      <t>SỐ LƯỢNG TỔ CHỨC ĐẢNG CÓ TÍNH CHẤT ĐẶC THÙ</t>
    </r>
  </si>
  <si>
    <r>
      <t xml:space="preserve">Tại thời điểm 30/3/2025 </t>
    </r>
    <r>
      <rPr>
        <b/>
        <i/>
        <sz val="11"/>
        <rFont val="Times New Roman"/>
        <family val="1"/>
      </rPr>
      <t>(trước khi thực hiện Kết luận số 151-KL/TW, ngày 25/4/2025  của Ban Bí thư)</t>
    </r>
  </si>
  <si>
    <t>Số lượng chi bộ</t>
  </si>
  <si>
    <t>1. Chi bộ có từ 30 đảng viên đến dưới 50 đảng viên</t>
  </si>
  <si>
    <t>2. Chi bộ có từ 50 đảng viên đến dưới 100 đảng viên</t>
  </si>
  <si>
    <t>3. Chi bộ có từ 100 đảng viên đến dưới 200 đảng viên</t>
  </si>
  <si>
    <t>4. Chi bộ có từ 200 đảng viên trở lên</t>
  </si>
  <si>
    <t>Biểu số 1D</t>
  </si>
  <si>
    <t>Số chi bộ có 
thành lập tổ đảng</t>
  </si>
  <si>
    <t>THỐNG KÊ KẾT QUẢ ĐÀO TẠO, BỒI DƯỠNG ĐỘI NGŨ CẤP ỦY VIÊN CƠ SỞ</t>
  </si>
  <si>
    <t>Cộng (1+…+9)</t>
  </si>
  <si>
    <t>THỐNG KÊ TÌNH HÌNH BÍ THƯ CẤP ỦY ĐỒNG THỜI LÀ 
THỦ TRƯỞNG CƠ QUAN, ĐƠN VỊ CỦA CÁC TỔ CHỨC CƠ SỞ ĐẢNG</t>
  </si>
  <si>
    <t>Biểu số 5A</t>
  </si>
  <si>
    <t>Biểu số 5B</t>
  </si>
  <si>
    <t>Biểu số 1C</t>
  </si>
  <si>
    <t>Biểu số 6</t>
  </si>
  <si>
    <t>THỐNG KÊ ĐỘI NGŨ ĐẢNG VIÊN</t>
  </si>
  <si>
    <t>2=3+…+14</t>
  </si>
  <si>
    <t>(Ký, ghi rõ họ và tên; số điện thoại di động và cố định liên hệ)</t>
  </si>
  <si>
    <t>Tính đến 01/3/2026</t>
  </si>
  <si>
    <t>Đến 01/3/2026</t>
  </si>
  <si>
    <t>Tại thời điểm 01/3/2026</t>
  </si>
  <si>
    <t>Tính thời điểm hiện nay (đến 01/3/2026)</t>
  </si>
  <si>
    <t>Từ 1/7/2025 đến 01/3/2026</t>
  </si>
  <si>
    <r>
      <rPr>
        <sz val="12"/>
        <rFont val="Times New Roman"/>
        <family val="1"/>
      </rPr>
      <t>ĐẢNG BỘ THÀNH PHỐ HÀ NỘI</t>
    </r>
    <r>
      <rPr>
        <b/>
        <sz val="12"/>
        <rFont val="Times New Roman"/>
        <family val="1"/>
      </rPr>
      <t xml:space="preserve">
ĐẢNG ỦY…</t>
    </r>
  </si>
  <si>
    <r>
      <rPr>
        <sz val="12"/>
        <color theme="1"/>
        <rFont val="Times New Roman"/>
        <family val="1"/>
      </rPr>
      <t>ĐẢNG BỘ THÀNH PHỐ HÀ NỘI</t>
    </r>
    <r>
      <rPr>
        <b/>
        <sz val="12"/>
        <color theme="1"/>
        <rFont val="Times New Roman"/>
        <family val="1"/>
      </rPr>
      <t xml:space="preserve">
ĐẢNG ỦY…</t>
    </r>
  </si>
  <si>
    <r>
      <t xml:space="preserve">ĐẢNG BỘ THÀNH PHỐ HÀ NỘI
</t>
    </r>
    <r>
      <rPr>
        <b/>
        <sz val="12"/>
        <rFont val="Times New Roman"/>
        <family val="1"/>
      </rPr>
      <t>ĐẢNG ỦY…</t>
    </r>
  </si>
  <si>
    <r>
      <rPr>
        <sz val="12"/>
        <rFont val="Times New Roman"/>
        <family val="1"/>
      </rPr>
      <t xml:space="preserve">ĐẢNG BỘ THÀNH PHỐ HÀ NỘI
</t>
    </r>
    <r>
      <rPr>
        <b/>
        <sz val="12"/>
        <rFont val="Times New Roman"/>
        <family val="1"/>
      </rPr>
      <t>ĐẢNG ỦY…</t>
    </r>
  </si>
  <si>
    <t>Hà Nội, ngày     tháng     năm 2026</t>
  </si>
  <si>
    <t>Hà Nội, ngày    tháng     năm 2026</t>
  </si>
  <si>
    <t>Hà Nội, ngày     tháng     năm …</t>
  </si>
  <si>
    <t>Biểu được Ban Tổ chức Thành ủy phát hành ngày 16/3/2026</t>
  </si>
  <si>
    <t xml:space="preserve">..., ngày    tháng    năm 2026    </t>
  </si>
  <si>
    <t>THỐNG KÊ KẾT QUẢ KIỆN TOÀN, SẮP XẾP, CỦNG CỐ TỔ CHỨC CƠ SỞ ĐẢNG
(Từ năm 2022 đến năm 2026)</t>
  </si>
  <si>
    <t>Biểu số 1B</t>
  </si>
  <si>
    <t xml:space="preserve">Kết quả kiện toàn, sắp xếp, củng cố 
</t>
  </si>
  <si>
    <t>Số TCCSĐ 
tính đến 31/3/2026</t>
  </si>
  <si>
    <t>Thành lập mới (bao gồm cả hợp nhất, sáp nhập)</t>
  </si>
  <si>
    <t>Giải thể</t>
  </si>
  <si>
    <t>Đưa vào diện 
theo dõi</t>
  </si>
  <si>
    <t>Đã củng cố xong</t>
  </si>
  <si>
    <t>1. Xã, phường, thị trấn *</t>
  </si>
  <si>
    <t>2. Thôn, tổ dân phố</t>
  </si>
  <si>
    <t>3. Cơ quan Đảng, MTTQ, tổ chức CT-XH</t>
  </si>
  <si>
    <t>4. Cơ quan Nhà nước</t>
  </si>
  <si>
    <r>
      <t>5. Đơn vị sự nghiệp</t>
    </r>
    <r>
      <rPr>
        <i/>
        <sz val="11"/>
        <rFont val="Times New Roman"/>
        <family val="1"/>
      </rPr>
      <t xml:space="preserve"> </t>
    </r>
  </si>
  <si>
    <t>6. Quân đội</t>
  </si>
  <si>
    <t>7. Công an</t>
  </si>
  <si>
    <r>
      <t>8. Doanh nghiệp và hợp tác xã</t>
    </r>
    <r>
      <rPr>
        <i/>
        <sz val="11"/>
        <rFont val="Times New Roman"/>
        <family val="1"/>
      </rPr>
      <t xml:space="preserve"> </t>
    </r>
  </si>
  <si>
    <t>9. Tổ chức cơ sở đảng ở ngoài nước</t>
  </si>
  <si>
    <r>
      <t xml:space="preserve">10. Loại hình tổ chức cơ sở đảng khác 
</t>
    </r>
    <r>
      <rPr>
        <i/>
        <sz val="11"/>
        <rFont val="Times New Roman"/>
        <family val="1"/>
      </rPr>
      <t>(Ghi cụ thể loại hình cơ sở khác)</t>
    </r>
  </si>
  <si>
    <t>Số TCCSĐ 
tính đến 01/7/2025</t>
  </si>
  <si>
    <t>Tính đến 01/7/2025</t>
  </si>
  <si>
    <t>THỐNG KÊ 
SỐ LƯỢNG CHI BỘ CÓ ĐÔNG ĐẢNG VIÊN
(tính đến 01/3/2026)</t>
  </si>
  <si>
    <r>
      <t xml:space="preserve">SỐ TỔ CHỨC ĐẢNG THỰC HIỆN THÍ ĐIỂM SINH HOẠT ĐẢNG TRỰC TUYẾN 
theo Hướng dẫn số 03-HD/TW, ngày 27/12/2022 của Ban Bí thư
</t>
    </r>
    <r>
      <rPr>
        <i/>
        <sz val="12"/>
        <rFont val="Times New Roman"/>
        <family val="1"/>
      </rPr>
      <t>(Tính đến 01/3/2026)</t>
    </r>
  </si>
  <si>
    <t>Tính đến 01/7/2026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</si>
</sst>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4" x14ac:knownFonts="1">
    <font>
      <sz val="11"/>
      <color theme="1"/>
      <name val="Calibri"/>
      <family val="2"/>
      <scheme val="minor"/>
    </font>
    <font>
      <sz val="11"/>
      <color theme="1"/>
      <name val="Calibri"/>
      <family val="2"/>
      <scheme val="minor"/>
    </font>
    <font>
      <sz val="12"/>
      <color theme="1"/>
      <name val="Times New Roman"/>
      <family val="1"/>
    </font>
    <font>
      <b/>
      <u/>
      <sz val="12"/>
      <name val="Times New Roman"/>
      <family val="1"/>
    </font>
    <font>
      <sz val="12"/>
      <name val="Times New Roman"/>
      <family val="1"/>
    </font>
    <font>
      <b/>
      <sz val="12"/>
      <name val="Times New Roman"/>
      <family val="1"/>
    </font>
    <font>
      <sz val="10"/>
      <name val="Arial"/>
      <family val="2"/>
    </font>
    <font>
      <i/>
      <sz val="12"/>
      <name val="Times New Roman"/>
      <family val="1"/>
    </font>
    <font>
      <b/>
      <sz val="10"/>
      <name val="Times New Roman"/>
      <family val="1"/>
    </font>
    <font>
      <sz val="10"/>
      <name val="Times New Roman"/>
      <family val="1"/>
    </font>
    <font>
      <b/>
      <sz val="12"/>
      <color theme="1"/>
      <name val="Times New Roman"/>
      <family val="1"/>
    </font>
    <font>
      <sz val="11"/>
      <name val="Times New Roman"/>
      <family val="1"/>
    </font>
    <font>
      <i/>
      <sz val="10"/>
      <name val="Times New Roman"/>
      <family val="1"/>
    </font>
    <font>
      <i/>
      <sz val="11"/>
      <name val="Times New Roman"/>
      <family val="1"/>
    </font>
    <font>
      <b/>
      <sz val="11"/>
      <name val="Times New Roman"/>
      <family val="1"/>
    </font>
    <font>
      <b/>
      <sz val="14"/>
      <name val="Times New Roman"/>
      <family val="1"/>
    </font>
    <font>
      <i/>
      <sz val="14"/>
      <name val="Times New Roman"/>
      <family val="1"/>
    </font>
    <font>
      <sz val="14"/>
      <name val="Arial"/>
      <family val="2"/>
    </font>
    <font>
      <sz val="14"/>
      <name val="Times New Roman"/>
      <family val="1"/>
    </font>
    <font>
      <sz val="8"/>
      <name val="Calibri"/>
      <family val="2"/>
      <scheme val="minor"/>
    </font>
    <font>
      <b/>
      <i/>
      <sz val="10"/>
      <name val="Times New Roman"/>
      <family val="1"/>
    </font>
    <font>
      <b/>
      <u/>
      <sz val="13"/>
      <name val="Times New Roman"/>
      <family val="1"/>
    </font>
    <font>
      <i/>
      <sz val="13"/>
      <name val="Times New Roman"/>
      <family val="1"/>
    </font>
    <font>
      <sz val="13"/>
      <name val="Arial"/>
      <family val="2"/>
    </font>
    <font>
      <b/>
      <sz val="13"/>
      <name val="Times New Roman"/>
      <family val="1"/>
    </font>
    <font>
      <i/>
      <sz val="9"/>
      <name val="Times New Roman"/>
      <family val="1"/>
    </font>
    <font>
      <sz val="11"/>
      <name val="Arial"/>
      <family val="2"/>
    </font>
    <font>
      <sz val="13"/>
      <name val="Times New Roman"/>
      <family val="1"/>
    </font>
    <font>
      <b/>
      <i/>
      <sz val="13"/>
      <name val="Times New Roman"/>
      <family val="1"/>
    </font>
    <font>
      <sz val="9"/>
      <name val="Arial"/>
      <family val="2"/>
    </font>
    <font>
      <b/>
      <sz val="15"/>
      <name val="Times New Roman"/>
      <family val="1"/>
    </font>
    <font>
      <i/>
      <u/>
      <sz val="10"/>
      <name val="Times New Roman"/>
      <family val="1"/>
    </font>
    <font>
      <sz val="11"/>
      <color rgb="FFFF0000"/>
      <name val="Calibri"/>
      <family val="2"/>
      <scheme val="minor"/>
    </font>
    <font>
      <sz val="12"/>
      <color rgb="FFFF0000"/>
      <name val="Times New Roman"/>
      <family val="1"/>
    </font>
    <font>
      <b/>
      <sz val="10"/>
      <color rgb="FFFF0000"/>
      <name val="Times New Roman"/>
      <family val="1"/>
    </font>
    <font>
      <i/>
      <sz val="12"/>
      <color rgb="FFFF0000"/>
      <name val="Times New Roman"/>
      <family val="1"/>
    </font>
    <font>
      <b/>
      <u/>
      <sz val="12"/>
      <color rgb="FFFF0000"/>
      <name val="Times New Roman"/>
      <family val="1"/>
    </font>
    <font>
      <i/>
      <sz val="10"/>
      <color rgb="FFFF0000"/>
      <name val="Arial"/>
      <family val="2"/>
    </font>
    <font>
      <sz val="12"/>
      <color rgb="FFFF0000"/>
      <name val="Arial"/>
      <family val="2"/>
    </font>
    <font>
      <i/>
      <sz val="12"/>
      <color rgb="FFFF0000"/>
      <name val="Arial"/>
      <family val="2"/>
    </font>
    <font>
      <sz val="12"/>
      <color rgb="FFFF0000"/>
      <name val="Calibri"/>
      <family val="2"/>
      <scheme val="minor"/>
    </font>
    <font>
      <b/>
      <sz val="11"/>
      <color rgb="FFFF0000"/>
      <name val="Calibri"/>
      <family val="2"/>
      <scheme val="minor"/>
    </font>
    <font>
      <i/>
      <sz val="11"/>
      <color rgb="FFFF0000"/>
      <name val="Calibri"/>
      <family val="2"/>
      <scheme val="minor"/>
    </font>
    <font>
      <b/>
      <i/>
      <sz val="11"/>
      <color rgb="FFFF0000"/>
      <name val="Calibri"/>
      <family val="2"/>
      <scheme val="minor"/>
    </font>
    <font>
      <sz val="12"/>
      <name val="Arial"/>
      <family val="2"/>
    </font>
    <font>
      <b/>
      <i/>
      <sz val="11"/>
      <name val="Times New Roman"/>
      <family val="1"/>
    </font>
    <font>
      <sz val="11"/>
      <name val="Calibri"/>
      <family val="2"/>
      <scheme val="minor"/>
    </font>
    <font>
      <b/>
      <i/>
      <sz val="12"/>
      <name val="Times New Roman"/>
      <family val="1"/>
    </font>
    <font>
      <b/>
      <u/>
      <sz val="11"/>
      <name val="Times New Roman"/>
      <family val="1"/>
    </font>
    <font>
      <sz val="12"/>
      <name val="Calibri"/>
      <family val="2"/>
      <scheme val="minor"/>
    </font>
    <font>
      <b/>
      <sz val="11"/>
      <name val="Calibri"/>
      <family val="2"/>
      <scheme val="minor"/>
    </font>
    <font>
      <b/>
      <i/>
      <sz val="11"/>
      <name val="Calibri"/>
      <family val="2"/>
      <scheme val="minor"/>
    </font>
    <font>
      <b/>
      <sz val="11.5"/>
      <name val="Times New Roman"/>
      <family val="1"/>
    </font>
    <font>
      <b/>
      <sz val="11"/>
      <color theme="1"/>
      <name val="Times New Roman"/>
      <family val="1"/>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lightUp">
        <bgColor theme="0"/>
      </patternFill>
    </fill>
    <fill>
      <patternFill patternType="lightDown">
        <bgColor theme="0"/>
      </patternFill>
    </fill>
    <fill>
      <patternFill patternType="solid">
        <fgColor rgb="FFFFC000"/>
        <bgColor indexed="64"/>
      </patternFill>
    </fill>
    <fill>
      <patternFill patternType="lightDown"/>
    </fill>
  </fills>
  <borders count="14">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6">
    <xf numFmtId="0" fontId="0" fillId="0" borderId="0"/>
    <xf numFmtId="43" fontId="1" fillId="0" borderId="0" applyFont="0" applyFill="0" applyBorder="0" applyAlignment="0" applyProtection="0"/>
    <xf numFmtId="0" fontId="6" fillId="0" borderId="0"/>
    <xf numFmtId="0" fontId="17" fillId="0" borderId="0"/>
    <xf numFmtId="43" fontId="6" fillId="0" borderId="0" applyFont="0" applyFill="0" applyBorder="0" applyAlignment="0" applyProtection="0"/>
    <xf numFmtId="9" fontId="1" fillId="0" borderId="0" applyFont="0" applyFill="0" applyBorder="0" applyAlignment="0" applyProtection="0"/>
  </cellStyleXfs>
  <cellXfs count="354">
    <xf numFmtId="0" fontId="0" fillId="0" borderId="0" xfId="0"/>
    <xf numFmtId="0" fontId="4" fillId="0" borderId="0" xfId="0" applyFont="1"/>
    <xf numFmtId="0" fontId="5" fillId="0" borderId="0" xfId="0" applyFont="1" applyAlignment="1">
      <alignment vertical="center"/>
    </xf>
    <xf numFmtId="0" fontId="4" fillId="0" borderId="0" xfId="0" applyFont="1" applyAlignment="1">
      <alignment horizontal="center" wrapText="1"/>
    </xf>
    <xf numFmtId="0" fontId="11" fillId="0" borderId="0" xfId="0" applyFont="1" applyAlignment="1">
      <alignment horizontal="center" wrapText="1"/>
    </xf>
    <xf numFmtId="0" fontId="12" fillId="0" borderId="0" xfId="0" applyFont="1" applyAlignment="1">
      <alignment horizontal="center" vertical="center"/>
    </xf>
    <xf numFmtId="0" fontId="11" fillId="0" borderId="0" xfId="0" applyFont="1" applyAlignment="1">
      <alignment horizontal="left" vertical="center" wrapText="1"/>
    </xf>
    <xf numFmtId="0" fontId="7" fillId="0" borderId="0" xfId="0" applyFont="1" applyAlignment="1">
      <alignment horizontal="center" vertical="center"/>
    </xf>
    <xf numFmtId="0" fontId="11" fillId="0" borderId="0" xfId="0" applyFont="1"/>
    <xf numFmtId="0" fontId="13" fillId="0" borderId="0" xfId="0" applyFont="1" applyAlignment="1">
      <alignment horizontal="center" vertical="center"/>
    </xf>
    <xf numFmtId="0" fontId="11" fillId="0" borderId="0" xfId="0" applyFont="1" applyAlignment="1">
      <alignment wrapText="1"/>
    </xf>
    <xf numFmtId="0" fontId="13" fillId="0" borderId="0" xfId="0" applyFont="1" applyAlignment="1">
      <alignment horizontal="right" vertical="center" wrapText="1"/>
    </xf>
    <xf numFmtId="0" fontId="4" fillId="0" borderId="0" xfId="0" applyFont="1" applyAlignment="1">
      <alignment wrapText="1"/>
    </xf>
    <xf numFmtId="0" fontId="5" fillId="0" borderId="0" xfId="0" applyFont="1" applyAlignment="1">
      <alignment horizontal="center" vertical="center" wrapText="1"/>
    </xf>
    <xf numFmtId="164" fontId="5" fillId="0" borderId="6" xfId="1" applyNumberFormat="1" applyFont="1" applyFill="1" applyBorder="1" applyAlignment="1">
      <alignment horizontal="left" vertical="center"/>
    </xf>
    <xf numFmtId="164" fontId="4" fillId="0" borderId="6" xfId="1" applyNumberFormat="1" applyFont="1" applyFill="1" applyBorder="1" applyAlignment="1">
      <alignment horizontal="left" vertical="center" wrapText="1"/>
    </xf>
    <xf numFmtId="49" fontId="5" fillId="0" borderId="6" xfId="0" applyNumberFormat="1" applyFont="1" applyBorder="1" applyAlignment="1">
      <alignment horizontal="center" vertical="center" wrapText="1"/>
    </xf>
    <xf numFmtId="0" fontId="3" fillId="0" borderId="0" xfId="0" applyFont="1" applyAlignment="1">
      <alignment horizontal="center"/>
    </xf>
    <xf numFmtId="0" fontId="4" fillId="0" borderId="6" xfId="0" applyFont="1" applyBorder="1" applyAlignment="1">
      <alignment horizontal="left" vertical="center" wrapText="1"/>
    </xf>
    <xf numFmtId="0" fontId="4" fillId="0" borderId="6" xfId="0" applyFont="1" applyBorder="1" applyAlignment="1">
      <alignment horizontal="center" vertical="center" wrapText="1"/>
    </xf>
    <xf numFmtId="0" fontId="15" fillId="0" borderId="0" xfId="0" applyFont="1" applyAlignment="1">
      <alignment vertical="center" wrapText="1"/>
    </xf>
    <xf numFmtId="0" fontId="10" fillId="0" borderId="0" xfId="0" applyFont="1" applyAlignment="1">
      <alignment horizontal="center" vertical="center"/>
    </xf>
    <xf numFmtId="0" fontId="2" fillId="0" borderId="0" xfId="0" applyFont="1" applyAlignment="1">
      <alignment horizontal="center" vertical="center"/>
    </xf>
    <xf numFmtId="0" fontId="4" fillId="0" borderId="6" xfId="0" applyFont="1" applyBorder="1" applyAlignment="1">
      <alignment horizontal="center" vertical="center"/>
    </xf>
    <xf numFmtId="49" fontId="5" fillId="0" borderId="0" xfId="2" applyNumberFormat="1" applyFont="1" applyAlignment="1" applyProtection="1">
      <alignment horizontal="center" vertical="center" wrapText="1"/>
      <protection locked="0"/>
    </xf>
    <xf numFmtId="0" fontId="23" fillId="0" borderId="0" xfId="2" applyFont="1"/>
    <xf numFmtId="0" fontId="10" fillId="0" borderId="0" xfId="2" applyFont="1" applyAlignment="1">
      <alignment horizontal="center" vertical="center"/>
    </xf>
    <xf numFmtId="0" fontId="6" fillId="0" borderId="0" xfId="2"/>
    <xf numFmtId="0" fontId="6" fillId="2" borderId="0" xfId="2" applyFill="1" applyAlignment="1" applyProtection="1">
      <alignment vertical="center"/>
      <protection locked="0"/>
    </xf>
    <xf numFmtId="3" fontId="5" fillId="2" borderId="0" xfId="2" applyNumberFormat="1" applyFont="1" applyFill="1" applyAlignment="1" applyProtection="1">
      <alignment vertical="center"/>
      <protection locked="0"/>
    </xf>
    <xf numFmtId="3" fontId="5" fillId="2" borderId="0" xfId="2" applyNumberFormat="1" applyFont="1" applyFill="1" applyAlignment="1" applyProtection="1">
      <alignment vertical="center" wrapText="1"/>
      <protection locked="0"/>
    </xf>
    <xf numFmtId="3" fontId="5" fillId="2" borderId="0" xfId="2" applyNumberFormat="1" applyFont="1" applyFill="1" applyAlignment="1" applyProtection="1">
      <alignment horizontal="center" vertical="center" wrapText="1"/>
      <protection locked="0"/>
    </xf>
    <xf numFmtId="0" fontId="12" fillId="2" borderId="0" xfId="2" quotePrefix="1" applyFont="1" applyFill="1" applyAlignment="1" applyProtection="1">
      <alignment vertical="center"/>
      <protection locked="0"/>
    </xf>
    <xf numFmtId="0" fontId="12" fillId="2" borderId="0" xfId="2" quotePrefix="1" applyFont="1" applyFill="1" applyAlignment="1" applyProtection="1">
      <alignment horizontal="center" vertical="center"/>
      <protection locked="0"/>
    </xf>
    <xf numFmtId="0" fontId="16" fillId="0" borderId="0" xfId="0" applyFont="1" applyAlignment="1">
      <alignment wrapText="1"/>
    </xf>
    <xf numFmtId="0" fontId="5" fillId="2" borderId="0" xfId="2" applyFont="1" applyFill="1" applyAlignment="1" applyProtection="1">
      <alignment horizontal="center" vertical="center"/>
      <protection locked="0"/>
    </xf>
    <xf numFmtId="0" fontId="12" fillId="2" borderId="0" xfId="2" applyFont="1" applyFill="1" applyAlignment="1" applyProtection="1">
      <alignment horizontal="center" vertical="center" wrapText="1"/>
      <protection locked="0"/>
    </xf>
    <xf numFmtId="0" fontId="28" fillId="0" borderId="0" xfId="2" applyFont="1" applyAlignment="1">
      <alignment vertical="top" wrapText="1"/>
    </xf>
    <xf numFmtId="0" fontId="8" fillId="0" borderId="6" xfId="2" applyFont="1" applyBorder="1" applyAlignment="1">
      <alignment horizontal="center" vertical="center" wrapText="1"/>
    </xf>
    <xf numFmtId="0" fontId="25" fillId="0" borderId="6" xfId="2" applyFont="1" applyBorder="1" applyAlignment="1">
      <alignment horizontal="center" vertical="center"/>
    </xf>
    <xf numFmtId="0" fontId="29" fillId="0" borderId="0" xfId="2" applyFont="1"/>
    <xf numFmtId="3" fontId="9" fillId="0" borderId="6" xfId="4" applyNumberFormat="1" applyFont="1" applyFill="1" applyBorder="1" applyAlignment="1" applyProtection="1">
      <alignment horizontal="center" vertical="center"/>
      <protection locked="0"/>
    </xf>
    <xf numFmtId="49" fontId="9" fillId="0" borderId="6" xfId="2" quotePrefix="1" applyNumberFormat="1" applyFont="1" applyBorder="1" applyAlignment="1">
      <alignment horizontal="left" vertical="center"/>
    </xf>
    <xf numFmtId="49" fontId="8" fillId="0" borderId="6" xfId="2" quotePrefix="1" applyNumberFormat="1" applyFont="1" applyBorder="1" applyAlignment="1">
      <alignment horizontal="left" vertical="center"/>
    </xf>
    <xf numFmtId="3" fontId="20" fillId="0" borderId="6" xfId="4" applyNumberFormat="1" applyFont="1" applyFill="1" applyBorder="1" applyAlignment="1" applyProtection="1">
      <alignment horizontal="center" vertical="center"/>
    </xf>
    <xf numFmtId="49" fontId="9" fillId="0" borderId="6" xfId="2" quotePrefix="1" applyNumberFormat="1" applyFont="1" applyBorder="1" applyAlignment="1">
      <alignment horizontal="left" vertical="center" wrapText="1"/>
    </xf>
    <xf numFmtId="0" fontId="9" fillId="2" borderId="0" xfId="2" applyFont="1" applyFill="1" applyAlignment="1" applyProtection="1">
      <alignment vertical="center"/>
      <protection locked="0"/>
    </xf>
    <xf numFmtId="0" fontId="14" fillId="0" borderId="8" xfId="0" applyFont="1" applyBorder="1" applyAlignment="1">
      <alignment vertical="center" wrapText="1"/>
    </xf>
    <xf numFmtId="0" fontId="26" fillId="0" borderId="0" xfId="2" applyFont="1" applyAlignment="1" applyProtection="1">
      <alignment vertical="center"/>
      <protection locked="0"/>
    </xf>
    <xf numFmtId="3" fontId="6" fillId="0" borderId="0" xfId="2" applyNumberFormat="1" applyAlignment="1" applyProtection="1">
      <alignment vertical="center"/>
      <protection locked="0"/>
    </xf>
    <xf numFmtId="0" fontId="12" fillId="2" borderId="0" xfId="2" applyFont="1" applyFill="1" applyAlignment="1" applyProtection="1">
      <alignment horizontal="left" vertical="center" wrapText="1"/>
      <protection locked="0"/>
    </xf>
    <xf numFmtId="49" fontId="8" fillId="0" borderId="6" xfId="2" quotePrefix="1" applyNumberFormat="1" applyFont="1" applyBorder="1" applyAlignment="1">
      <alignment horizontal="left" vertical="center" wrapText="1"/>
    </xf>
    <xf numFmtId="49" fontId="20" fillId="0" borderId="6" xfId="2" quotePrefix="1" applyNumberFormat="1" applyFont="1" applyBorder="1" applyAlignment="1">
      <alignment horizontal="left" vertical="center" wrapText="1"/>
    </xf>
    <xf numFmtId="49" fontId="9" fillId="0" borderId="0" xfId="2" quotePrefix="1" applyNumberFormat="1" applyFont="1" applyAlignment="1">
      <alignment horizontal="left" vertical="center" wrapText="1"/>
    </xf>
    <xf numFmtId="0" fontId="8" fillId="0" borderId="6" xfId="0" applyFont="1" applyBorder="1" applyAlignment="1">
      <alignment horizontal="left" vertical="center" wrapText="1"/>
    </xf>
    <xf numFmtId="0" fontId="20" fillId="0" borderId="6" xfId="0" applyFont="1" applyBorder="1" applyAlignment="1">
      <alignment horizontal="left" vertical="center" wrapText="1"/>
    </xf>
    <xf numFmtId="0" fontId="9" fillId="2" borderId="6" xfId="0" quotePrefix="1" applyFont="1" applyFill="1" applyBorder="1" applyAlignment="1">
      <alignment horizontal="left" vertical="center" wrapText="1"/>
    </xf>
    <xf numFmtId="0" fontId="10" fillId="0" borderId="0" xfId="0" applyFont="1"/>
    <xf numFmtId="0" fontId="34" fillId="0" borderId="6" xfId="2" applyFont="1" applyBorder="1" applyAlignment="1">
      <alignment horizontal="center" vertical="center" wrapText="1"/>
    </xf>
    <xf numFmtId="0" fontId="38" fillId="2" borderId="0" xfId="2" applyFont="1" applyFill="1" applyAlignment="1" applyProtection="1">
      <alignment vertical="center"/>
      <protection locked="0"/>
    </xf>
    <xf numFmtId="0" fontId="35" fillId="2" borderId="0" xfId="2" quotePrefix="1" applyFont="1" applyFill="1" applyAlignment="1" applyProtection="1">
      <alignment vertical="center"/>
      <protection locked="0"/>
    </xf>
    <xf numFmtId="0" fontId="5" fillId="0" borderId="0" xfId="0" applyFont="1" applyAlignment="1">
      <alignment vertical="center" wrapText="1"/>
    </xf>
    <xf numFmtId="3" fontId="6" fillId="2" borderId="0" xfId="2" applyNumberFormat="1" applyFill="1" applyAlignment="1" applyProtection="1">
      <alignment vertical="center"/>
      <protection locked="0"/>
    </xf>
    <xf numFmtId="3" fontId="26" fillId="0" borderId="0" xfId="2" applyNumberFormat="1" applyFont="1" applyAlignment="1" applyProtection="1">
      <alignment vertical="center"/>
      <protection locked="0"/>
    </xf>
    <xf numFmtId="3" fontId="12" fillId="2" borderId="0" xfId="2" quotePrefix="1" applyNumberFormat="1" applyFont="1" applyFill="1" applyAlignment="1" applyProtection="1">
      <alignment horizontal="center" vertical="center"/>
      <protection locked="0"/>
    </xf>
    <xf numFmtId="0" fontId="36" fillId="0" borderId="0" xfId="0" applyFont="1" applyAlignment="1">
      <alignment vertical="top"/>
    </xf>
    <xf numFmtId="0" fontId="33" fillId="0" borderId="0" xfId="0" applyFont="1" applyAlignment="1">
      <alignment vertical="top"/>
    </xf>
    <xf numFmtId="0" fontId="35" fillId="0" borderId="0" xfId="0" applyFont="1" applyAlignment="1">
      <alignment vertical="top"/>
    </xf>
    <xf numFmtId="0" fontId="33" fillId="0" borderId="0" xfId="0" applyFont="1" applyAlignment="1">
      <alignment vertical="center"/>
    </xf>
    <xf numFmtId="0" fontId="32" fillId="0" borderId="0" xfId="0" applyFont="1" applyAlignment="1">
      <alignment wrapText="1"/>
    </xf>
    <xf numFmtId="0" fontId="32" fillId="0" borderId="0" xfId="0" applyFont="1"/>
    <xf numFmtId="9" fontId="32" fillId="0" borderId="0" xfId="5" applyFont="1"/>
    <xf numFmtId="0" fontId="41" fillId="0" borderId="0" xfId="0" applyFont="1"/>
    <xf numFmtId="0" fontId="32" fillId="0" borderId="0" xfId="0" applyFont="1" applyAlignment="1">
      <alignment horizontal="center"/>
    </xf>
    <xf numFmtId="0" fontId="42" fillId="0" borderId="0" xfId="0" applyFont="1"/>
    <xf numFmtId="0" fontId="42" fillId="0" borderId="0" xfId="0" applyFont="1" applyAlignment="1">
      <alignment horizontal="center"/>
    </xf>
    <xf numFmtId="0" fontId="32" fillId="0" borderId="0" xfId="0" applyFont="1" applyAlignment="1">
      <alignment vertical="center"/>
    </xf>
    <xf numFmtId="0" fontId="43" fillId="0" borderId="0" xfId="0" applyFont="1"/>
    <xf numFmtId="0" fontId="40" fillId="0" borderId="0" xfId="0" applyFont="1"/>
    <xf numFmtId="0" fontId="44" fillId="2" borderId="0" xfId="2" applyFont="1" applyFill="1" applyAlignment="1" applyProtection="1">
      <alignment vertical="center"/>
      <protection locked="0"/>
    </xf>
    <xf numFmtId="0" fontId="7" fillId="2" borderId="0" xfId="2" applyFont="1" applyFill="1" applyAlignment="1" applyProtection="1">
      <alignment vertical="center"/>
      <protection locked="0"/>
    </xf>
    <xf numFmtId="0" fontId="5" fillId="0" borderId="0" xfId="2" applyFont="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horizontal="center" vertical="center" wrapText="1"/>
    </xf>
    <xf numFmtId="0" fontId="7" fillId="2" borderId="0" xfId="2" quotePrefix="1" applyFont="1" applyFill="1" applyAlignment="1" applyProtection="1">
      <alignment horizontal="center" vertical="center"/>
      <protection locked="0"/>
    </xf>
    <xf numFmtId="0" fontId="18" fillId="0" borderId="9" xfId="0" quotePrefix="1" applyFont="1" applyBorder="1" applyAlignment="1">
      <alignment wrapText="1"/>
    </xf>
    <xf numFmtId="0" fontId="18" fillId="0" borderId="9" xfId="0" applyFont="1" applyBorder="1"/>
    <xf numFmtId="0" fontId="22" fillId="0" borderId="0" xfId="0" applyFont="1" applyAlignment="1">
      <alignment horizontal="center" vertical="center"/>
    </xf>
    <xf numFmtId="0" fontId="14" fillId="0" borderId="6" xfId="0" applyFont="1" applyBorder="1" applyAlignment="1">
      <alignment horizontal="center" vertical="center" wrapText="1"/>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3" fontId="4" fillId="2" borderId="6" xfId="2" applyNumberFormat="1" applyFont="1" applyFill="1" applyBorder="1" applyAlignment="1" applyProtection="1">
      <alignment vertical="center"/>
      <protection locked="0"/>
    </xf>
    <xf numFmtId="3" fontId="7" fillId="2" borderId="6" xfId="2" applyNumberFormat="1" applyFont="1" applyFill="1" applyBorder="1" applyAlignment="1" applyProtection="1">
      <alignment vertical="center"/>
      <protection locked="0"/>
    </xf>
    <xf numFmtId="0" fontId="5" fillId="2" borderId="6" xfId="2" applyFont="1" applyFill="1" applyBorder="1" applyAlignment="1">
      <alignment horizontal="center" vertical="center"/>
    </xf>
    <xf numFmtId="0" fontId="5" fillId="2" borderId="6" xfId="2" applyFont="1" applyFill="1" applyBorder="1" applyAlignment="1">
      <alignment horizontal="center" vertical="center" wrapText="1"/>
    </xf>
    <xf numFmtId="3" fontId="5" fillId="0" borderId="6" xfId="0" applyNumberFormat="1" applyFont="1" applyBorder="1" applyAlignment="1">
      <alignment horizontal="right" vertical="center"/>
    </xf>
    <xf numFmtId="3" fontId="4" fillId="0" borderId="6" xfId="0" applyNumberFormat="1" applyFont="1" applyBorder="1" applyAlignment="1">
      <alignment horizontal="right" vertical="center"/>
    </xf>
    <xf numFmtId="0" fontId="4" fillId="2" borderId="6" xfId="2" applyFont="1" applyFill="1" applyBorder="1" applyAlignment="1">
      <alignment horizontal="center" vertical="center" wrapText="1"/>
    </xf>
    <xf numFmtId="49" fontId="5" fillId="0" borderId="0" xfId="2" applyNumberFormat="1" applyFont="1" applyAlignment="1" applyProtection="1">
      <alignment horizontal="center" vertical="top"/>
      <protection locked="0"/>
    </xf>
    <xf numFmtId="0" fontId="5" fillId="2" borderId="6" xfId="2" applyFont="1" applyFill="1" applyBorder="1" applyAlignment="1">
      <alignment horizontal="justify" vertical="center" wrapText="1"/>
    </xf>
    <xf numFmtId="0" fontId="5" fillId="2" borderId="6" xfId="2" applyFont="1" applyFill="1" applyBorder="1" applyAlignment="1">
      <alignment vertical="center" wrapText="1"/>
    </xf>
    <xf numFmtId="0" fontId="7" fillId="2" borderId="0" xfId="2" applyFont="1" applyFill="1" applyAlignment="1" applyProtection="1">
      <alignment horizontal="center" vertical="center" wrapText="1"/>
      <protection locked="0"/>
    </xf>
    <xf numFmtId="0" fontId="7" fillId="2" borderId="0" xfId="2" quotePrefix="1" applyFont="1" applyFill="1" applyAlignment="1" applyProtection="1">
      <alignment vertical="center"/>
      <protection locked="0"/>
    </xf>
    <xf numFmtId="0" fontId="5" fillId="0" borderId="0" xfId="0" applyFont="1" applyAlignment="1">
      <alignment horizontal="center" vertical="top" wrapText="1"/>
    </xf>
    <xf numFmtId="0" fontId="3" fillId="0" borderId="0" xfId="0" applyFont="1" applyAlignment="1">
      <alignment vertical="top"/>
    </xf>
    <xf numFmtId="0" fontId="4" fillId="0" borderId="0" xfId="0" applyFont="1" applyAlignment="1">
      <alignment vertical="top"/>
    </xf>
    <xf numFmtId="0" fontId="7" fillId="0" borderId="0" xfId="0" applyFont="1" applyAlignment="1">
      <alignment vertical="top"/>
    </xf>
    <xf numFmtId="0" fontId="12" fillId="2" borderId="0" xfId="2" applyFont="1" applyFill="1" applyAlignment="1" applyProtection="1">
      <alignment horizontal="center" vertical="center"/>
      <protection locked="0"/>
    </xf>
    <xf numFmtId="0" fontId="5" fillId="0" borderId="6" xfId="0" applyFont="1" applyBorder="1" applyAlignment="1">
      <alignment vertical="center" wrapText="1"/>
    </xf>
    <xf numFmtId="0" fontId="5" fillId="0" borderId="0" xfId="0" applyFont="1" applyAlignment="1">
      <alignment vertical="top" wrapText="1"/>
    </xf>
    <xf numFmtId="0" fontId="5" fillId="0" borderId="4" xfId="0" applyFont="1" applyBorder="1" applyAlignment="1">
      <alignment horizontal="center" vertical="center" wrapText="1"/>
    </xf>
    <xf numFmtId="0" fontId="5" fillId="2" borderId="0" xfId="2" applyFont="1" applyFill="1" applyAlignment="1" applyProtection="1">
      <alignment vertical="center"/>
      <protection locked="0"/>
    </xf>
    <xf numFmtId="0" fontId="12" fillId="2" borderId="0" xfId="2" applyFont="1" applyFill="1" applyAlignment="1" applyProtection="1">
      <alignment vertical="center"/>
      <protection locked="0"/>
    </xf>
    <xf numFmtId="0" fontId="40" fillId="0" borderId="0" xfId="0" applyFont="1" applyAlignment="1">
      <alignment vertical="center"/>
    </xf>
    <xf numFmtId="0" fontId="7" fillId="2" borderId="6" xfId="2" applyFont="1" applyFill="1" applyBorder="1" applyAlignment="1">
      <alignment vertical="center" wrapText="1"/>
    </xf>
    <xf numFmtId="0" fontId="49" fillId="0" borderId="6" xfId="0" applyFont="1" applyBorder="1" applyAlignment="1">
      <alignment vertical="center"/>
    </xf>
    <xf numFmtId="0" fontId="5" fillId="0" borderId="6" xfId="0" applyFont="1" applyBorder="1" applyAlignment="1">
      <alignment vertical="center"/>
    </xf>
    <xf numFmtId="9" fontId="5" fillId="0" borderId="0" xfId="5" applyFont="1" applyAlignment="1">
      <alignment horizontal="center" vertical="center"/>
    </xf>
    <xf numFmtId="9" fontId="5" fillId="0" borderId="0" xfId="5" applyFont="1" applyAlignment="1">
      <alignment horizontal="justify" vertical="center"/>
    </xf>
    <xf numFmtId="9" fontId="5" fillId="0" borderId="0" xfId="5" applyFont="1" applyAlignment="1">
      <alignment vertical="center"/>
    </xf>
    <xf numFmtId="9" fontId="4" fillId="0" borderId="0" xfId="5" applyFont="1" applyAlignment="1">
      <alignment vertical="center"/>
    </xf>
    <xf numFmtId="9" fontId="46" fillId="0" borderId="0" xfId="5" applyFont="1" applyAlignment="1">
      <alignment wrapText="1"/>
    </xf>
    <xf numFmtId="0" fontId="7" fillId="0" borderId="6" xfId="0" applyFont="1" applyBorder="1" applyAlignment="1">
      <alignment horizontal="center" vertical="center" wrapText="1"/>
    </xf>
    <xf numFmtId="0" fontId="50" fillId="0" borderId="6" xfId="0" applyFont="1" applyBorder="1" applyAlignment="1">
      <alignment wrapText="1"/>
    </xf>
    <xf numFmtId="0" fontId="50" fillId="0" borderId="6" xfId="0" applyFont="1" applyBorder="1"/>
    <xf numFmtId="0" fontId="7" fillId="0" borderId="6" xfId="0" applyFont="1" applyBorder="1" applyAlignment="1">
      <alignment horizontal="center" vertical="center"/>
    </xf>
    <xf numFmtId="0" fontId="7" fillId="0" borderId="6" xfId="0" applyFont="1" applyBorder="1" applyAlignment="1">
      <alignment vertical="center" wrapText="1"/>
    </xf>
    <xf numFmtId="3" fontId="47" fillId="0" borderId="6" xfId="0" applyNumberFormat="1" applyFont="1" applyBorder="1" applyAlignment="1">
      <alignment horizontal="right" vertical="center"/>
    </xf>
    <xf numFmtId="0" fontId="51" fillId="0" borderId="6" xfId="0" applyFont="1" applyBorder="1" applyAlignment="1">
      <alignment wrapText="1"/>
    </xf>
    <xf numFmtId="0" fontId="51" fillId="0" borderId="6" xfId="0" applyFont="1" applyBorder="1"/>
    <xf numFmtId="0" fontId="7" fillId="0" borderId="6" xfId="0" applyFont="1" applyBorder="1" applyAlignment="1">
      <alignment vertical="center"/>
    </xf>
    <xf numFmtId="3" fontId="7" fillId="0" borderId="6" xfId="0" applyNumberFormat="1" applyFont="1" applyBorder="1" applyAlignment="1">
      <alignment horizontal="right" vertical="center"/>
    </xf>
    <xf numFmtId="0" fontId="4" fillId="0" borderId="6" xfId="0" applyFont="1" applyBorder="1" applyAlignment="1">
      <alignment vertical="center"/>
    </xf>
    <xf numFmtId="0" fontId="46" fillId="0" borderId="6" xfId="0" applyFont="1" applyBorder="1" applyAlignment="1">
      <alignment wrapText="1"/>
    </xf>
    <xf numFmtId="0" fontId="46" fillId="0" borderId="6" xfId="0" applyFont="1" applyBorder="1"/>
    <xf numFmtId="0" fontId="46" fillId="0" borderId="0" xfId="0" applyFont="1" applyAlignment="1">
      <alignment vertical="center"/>
    </xf>
    <xf numFmtId="0" fontId="46" fillId="0" borderId="0" xfId="0" applyFont="1"/>
    <xf numFmtId="0" fontId="46" fillId="0" borderId="0" xfId="0" applyFont="1" applyAlignment="1">
      <alignment wrapText="1"/>
    </xf>
    <xf numFmtId="0" fontId="10" fillId="0" borderId="0" xfId="0" applyFont="1" applyAlignment="1">
      <alignment vertical="center"/>
    </xf>
    <xf numFmtId="0" fontId="9" fillId="0" borderId="0" xfId="2" applyFont="1" applyAlignment="1">
      <alignment vertical="center"/>
    </xf>
    <xf numFmtId="0" fontId="5" fillId="0" borderId="6" xfId="2" applyFont="1" applyBorder="1" applyAlignment="1">
      <alignment horizontal="center" vertical="center" wrapText="1"/>
    </xf>
    <xf numFmtId="0" fontId="11" fillId="2" borderId="6" xfId="2" applyFont="1" applyFill="1" applyBorder="1" applyAlignment="1">
      <alignment vertical="center" wrapText="1"/>
    </xf>
    <xf numFmtId="3" fontId="11" fillId="6" borderId="6" xfId="2" applyNumberFormat="1" applyFont="1" applyFill="1" applyBorder="1" applyAlignment="1" applyProtection="1">
      <alignment horizontal="center" vertical="center"/>
      <protection locked="0"/>
    </xf>
    <xf numFmtId="3" fontId="11" fillId="8" borderId="6" xfId="2" applyNumberFormat="1" applyFont="1" applyFill="1" applyBorder="1" applyAlignment="1">
      <alignment horizontal="center" vertical="center"/>
    </xf>
    <xf numFmtId="3" fontId="11" fillId="2" borderId="6" xfId="2" applyNumberFormat="1" applyFont="1" applyFill="1" applyBorder="1" applyAlignment="1" applyProtection="1">
      <alignment horizontal="center" vertical="center"/>
      <protection locked="0"/>
    </xf>
    <xf numFmtId="3" fontId="11" fillId="0" borderId="6" xfId="2" applyNumberFormat="1" applyFont="1" applyBorder="1" applyAlignment="1">
      <alignment horizontal="center" vertical="center"/>
    </xf>
    <xf numFmtId="0" fontId="11" fillId="2" borderId="6" xfId="2" applyFont="1" applyFill="1" applyBorder="1" applyAlignment="1">
      <alignment horizontal="left" vertical="center" wrapText="1"/>
    </xf>
    <xf numFmtId="0" fontId="11" fillId="2" borderId="6" xfId="2" applyFont="1" applyFill="1" applyBorder="1" applyAlignment="1">
      <alignment horizontal="justify" vertical="center" wrapText="1"/>
    </xf>
    <xf numFmtId="0" fontId="9" fillId="0" borderId="0" xfId="2" applyFont="1" applyAlignment="1" applyProtection="1">
      <alignment vertical="center"/>
      <protection locked="0"/>
    </xf>
    <xf numFmtId="0" fontId="11" fillId="0" borderId="0" xfId="2" applyFont="1" applyAlignment="1">
      <alignment vertical="center"/>
    </xf>
    <xf numFmtId="0" fontId="2" fillId="0" borderId="0" xfId="0" applyFont="1" applyAlignment="1">
      <alignment vertical="center"/>
    </xf>
    <xf numFmtId="0" fontId="12" fillId="2" borderId="0" xfId="2" applyFont="1" applyFill="1" applyAlignment="1" applyProtection="1">
      <alignment vertical="center" wrapText="1"/>
      <protection locked="0"/>
    </xf>
    <xf numFmtId="0" fontId="4" fillId="2" borderId="6" xfId="2" applyFont="1" applyFill="1" applyBorder="1" applyAlignment="1">
      <alignment vertical="center"/>
    </xf>
    <xf numFmtId="3" fontId="4" fillId="0" borderId="6" xfId="2" applyNumberFormat="1" applyFont="1" applyBorder="1" applyAlignment="1">
      <alignment vertical="center"/>
    </xf>
    <xf numFmtId="3" fontId="5" fillId="2" borderId="6" xfId="2" applyNumberFormat="1" applyFont="1" applyFill="1" applyBorder="1" applyAlignment="1" applyProtection="1">
      <alignment vertical="center"/>
      <protection locked="0"/>
    </xf>
    <xf numFmtId="0" fontId="4" fillId="0" borderId="0" xfId="0" applyFont="1" applyAlignment="1">
      <alignment vertical="center"/>
    </xf>
    <xf numFmtId="0" fontId="13" fillId="0" borderId="6" xfId="0" applyFont="1" applyBorder="1" applyAlignment="1">
      <alignment vertical="center" wrapText="1"/>
    </xf>
    <xf numFmtId="0" fontId="11" fillId="0" borderId="6" xfId="0" applyFont="1" applyBorder="1" applyAlignment="1">
      <alignment vertical="center" wrapText="1"/>
    </xf>
    <xf numFmtId="0" fontId="6" fillId="7" borderId="0" xfId="2" applyFill="1" applyAlignment="1">
      <alignment horizontal="center"/>
    </xf>
    <xf numFmtId="49" fontId="6" fillId="7" borderId="0" xfId="2" applyNumberFormat="1" applyFill="1" applyAlignment="1">
      <alignment horizontal="center"/>
    </xf>
    <xf numFmtId="0" fontId="14" fillId="0" borderId="6" xfId="0" applyFont="1" applyBorder="1" applyAlignment="1">
      <alignment horizontal="center" vertical="center"/>
    </xf>
    <xf numFmtId="0" fontId="14" fillId="0" borderId="6" xfId="0" applyFont="1" applyBorder="1" applyAlignment="1">
      <alignment horizontal="left" vertical="center"/>
    </xf>
    <xf numFmtId="0" fontId="11" fillId="0" borderId="6" xfId="0" applyFont="1" applyBorder="1" applyAlignment="1">
      <alignment horizontal="center" vertical="center"/>
    </xf>
    <xf numFmtId="0" fontId="14" fillId="0" borderId="6" xfId="0" applyFont="1" applyBorder="1" applyAlignment="1">
      <alignment vertical="center" wrapText="1"/>
    </xf>
    <xf numFmtId="0" fontId="11" fillId="0" borderId="6" xfId="0" quotePrefix="1" applyFont="1" applyBorder="1" applyAlignment="1">
      <alignment vertical="center"/>
    </xf>
    <xf numFmtId="0" fontId="11" fillId="0" borderId="6" xfId="0" quotePrefix="1" applyFont="1" applyBorder="1" applyAlignment="1">
      <alignment vertical="center" wrapText="1"/>
    </xf>
    <xf numFmtId="0" fontId="53" fillId="0" borderId="0" xfId="2" applyFont="1" applyAlignment="1">
      <alignment horizontal="right"/>
    </xf>
    <xf numFmtId="0" fontId="14" fillId="0" borderId="0" xfId="0" applyFont="1" applyAlignment="1">
      <alignment horizontal="right" wrapText="1"/>
    </xf>
    <xf numFmtId="0" fontId="14" fillId="0" borderId="0" xfId="2" applyFont="1" applyAlignment="1">
      <alignment horizontal="right" vertical="center"/>
    </xf>
    <xf numFmtId="0" fontId="13" fillId="0" borderId="6" xfId="0" applyFont="1" applyBorder="1" applyAlignment="1">
      <alignment horizontal="center" vertical="center" wrapText="1"/>
    </xf>
    <xf numFmtId="0" fontId="44" fillId="0" borderId="0" xfId="2" applyFont="1" applyProtection="1">
      <protection locked="0"/>
    </xf>
    <xf numFmtId="0" fontId="38" fillId="0" borderId="0" xfId="2" applyFont="1" applyProtection="1">
      <protection locked="0"/>
    </xf>
    <xf numFmtId="0" fontId="33" fillId="0" borderId="0" xfId="2" applyFont="1" applyProtection="1">
      <protection locked="0"/>
    </xf>
    <xf numFmtId="0" fontId="5" fillId="0" borderId="0" xfId="2" applyFont="1" applyAlignment="1" applyProtection="1">
      <alignment horizontal="center" vertical="center"/>
      <protection locked="0"/>
    </xf>
    <xf numFmtId="0" fontId="5" fillId="0" borderId="8" xfId="2" applyFont="1" applyBorder="1" applyProtection="1">
      <protection locked="0"/>
    </xf>
    <xf numFmtId="0" fontId="5" fillId="0" borderId="6" xfId="0" applyFont="1" applyBorder="1" applyAlignment="1" applyProtection="1">
      <alignment horizontal="center" vertical="center" wrapText="1"/>
      <protection locked="0"/>
    </xf>
    <xf numFmtId="0" fontId="5" fillId="2" borderId="6" xfId="2" applyFont="1" applyFill="1" applyBorder="1" applyAlignment="1" applyProtection="1">
      <alignment horizontal="center" vertical="center" wrapText="1"/>
      <protection locked="0"/>
    </xf>
    <xf numFmtId="0" fontId="5" fillId="2" borderId="1" xfId="2" applyFont="1" applyFill="1" applyBorder="1" applyAlignment="1" applyProtection="1">
      <alignment horizontal="center" vertical="center"/>
      <protection locked="0"/>
    </xf>
    <xf numFmtId="0" fontId="7" fillId="2" borderId="6" xfId="0" quotePrefix="1" applyFont="1" applyFill="1" applyBorder="1" applyAlignment="1" applyProtection="1">
      <alignment horizontal="center" vertical="center" wrapText="1"/>
      <protection locked="0"/>
    </xf>
    <xf numFmtId="0" fontId="12" fillId="2" borderId="6" xfId="2" applyFont="1" applyFill="1" applyBorder="1" applyAlignment="1" applyProtection="1">
      <alignment horizontal="center" vertical="center"/>
      <protection locked="0"/>
    </xf>
    <xf numFmtId="0" fontId="12" fillId="2" borderId="6" xfId="2" applyFont="1" applyFill="1" applyBorder="1" applyAlignment="1" applyProtection="1">
      <alignment horizontal="center" vertical="center" wrapText="1"/>
      <protection locked="0"/>
    </xf>
    <xf numFmtId="0" fontId="37" fillId="2" borderId="0" xfId="2" applyFont="1" applyFill="1" applyAlignment="1" applyProtection="1">
      <alignment vertical="center"/>
      <protection locked="0"/>
    </xf>
    <xf numFmtId="0" fontId="39" fillId="2" borderId="0" xfId="2" applyFont="1" applyFill="1" applyAlignment="1" applyProtection="1">
      <alignment vertical="center"/>
      <protection locked="0"/>
    </xf>
    <xf numFmtId="0" fontId="5" fillId="2" borderId="6" xfId="2" applyFont="1" applyFill="1" applyBorder="1" applyAlignment="1" applyProtection="1">
      <alignment vertical="center"/>
      <protection locked="0"/>
    </xf>
    <xf numFmtId="3" fontId="7" fillId="2" borderId="6" xfId="2" applyNumberFormat="1" applyFont="1" applyFill="1" applyBorder="1" applyAlignment="1" applyProtection="1">
      <alignment horizontal="center" vertical="center"/>
      <protection locked="0"/>
    </xf>
    <xf numFmtId="0" fontId="5" fillId="2" borderId="6" xfId="2" applyFont="1" applyFill="1" applyBorder="1" applyAlignment="1" applyProtection="1">
      <alignment horizontal="justify" vertical="center" wrapText="1"/>
      <protection locked="0"/>
    </xf>
    <xf numFmtId="0" fontId="7" fillId="2" borderId="6" xfId="2" applyFont="1" applyFill="1" applyBorder="1" applyAlignment="1" applyProtection="1">
      <alignment horizontal="justify" vertical="center" wrapText="1"/>
      <protection locked="0"/>
    </xf>
    <xf numFmtId="0" fontId="7" fillId="2" borderId="6" xfId="2" applyFont="1" applyFill="1" applyBorder="1" applyAlignment="1" applyProtection="1">
      <alignment vertical="center"/>
      <protection locked="0"/>
    </xf>
    <xf numFmtId="0" fontId="5" fillId="2" borderId="6" xfId="2" applyFont="1" applyFill="1" applyBorder="1" applyAlignment="1" applyProtection="1">
      <alignment vertical="center" wrapText="1"/>
      <protection locked="0"/>
    </xf>
    <xf numFmtId="0" fontId="5" fillId="2" borderId="6" xfId="2" applyFont="1" applyFill="1" applyBorder="1" applyAlignment="1" applyProtection="1">
      <alignment horizontal="center" vertical="center"/>
      <protection locked="0"/>
    </xf>
    <xf numFmtId="3" fontId="4" fillId="2" borderId="6" xfId="2" applyNumberFormat="1" applyFont="1" applyFill="1" applyBorder="1" applyAlignment="1">
      <alignment vertical="center"/>
    </xf>
    <xf numFmtId="3" fontId="5" fillId="2" borderId="6" xfId="2" applyNumberFormat="1" applyFont="1" applyFill="1" applyBorder="1" applyAlignment="1">
      <alignment vertical="center"/>
    </xf>
    <xf numFmtId="3" fontId="5" fillId="2" borderId="6" xfId="2" applyNumberFormat="1" applyFont="1" applyFill="1" applyBorder="1" applyAlignment="1">
      <alignment horizontal="center" vertical="center"/>
    </xf>
    <xf numFmtId="0" fontId="5" fillId="2" borderId="6" xfId="2" applyFont="1" applyFill="1" applyBorder="1" applyAlignment="1">
      <alignment vertical="center"/>
    </xf>
    <xf numFmtId="3" fontId="4" fillId="2" borderId="6" xfId="2" applyNumberFormat="1" applyFont="1" applyFill="1" applyBorder="1" applyAlignment="1" applyProtection="1">
      <alignment horizontal="right" vertical="center"/>
      <protection locked="0"/>
    </xf>
    <xf numFmtId="3" fontId="7" fillId="2" borderId="6" xfId="2" applyNumberFormat="1" applyFont="1" applyFill="1" applyBorder="1" applyAlignment="1" applyProtection="1">
      <alignment horizontal="right" vertical="center"/>
      <protection locked="0"/>
    </xf>
    <xf numFmtId="0" fontId="38" fillId="2" borderId="0" xfId="2" applyFont="1" applyFill="1" applyAlignment="1" applyProtection="1">
      <alignment horizontal="center" vertical="center"/>
      <protection locked="0"/>
    </xf>
    <xf numFmtId="0" fontId="7" fillId="2" borderId="6" xfId="2" applyFont="1" applyFill="1" applyBorder="1" applyAlignment="1" applyProtection="1">
      <alignment horizontal="center" vertical="center"/>
      <protection locked="0"/>
    </xf>
    <xf numFmtId="0" fontId="40" fillId="4" borderId="0" xfId="2" quotePrefix="1" applyFont="1" applyFill="1" applyAlignment="1" applyProtection="1">
      <alignment horizontal="right" vertical="center"/>
      <protection locked="0"/>
    </xf>
    <xf numFmtId="0" fontId="38" fillId="4" borderId="0" xfId="2" applyFont="1" applyFill="1" applyAlignment="1" applyProtection="1">
      <alignment vertical="center"/>
      <protection locked="0"/>
    </xf>
    <xf numFmtId="0" fontId="40" fillId="4" borderId="0" xfId="2" applyFont="1" applyFill="1" applyAlignment="1" applyProtection="1">
      <alignment horizontal="right" vertical="center"/>
      <protection locked="0"/>
    </xf>
    <xf numFmtId="3" fontId="4" fillId="2" borderId="6" xfId="2" applyNumberFormat="1" applyFont="1" applyFill="1" applyBorder="1" applyAlignment="1">
      <alignment horizontal="right" vertical="center"/>
    </xf>
    <xf numFmtId="0" fontId="5" fillId="2" borderId="6" xfId="2" applyFont="1" applyFill="1" applyBorder="1" applyAlignment="1">
      <alignment horizontal="right" vertical="center"/>
    </xf>
    <xf numFmtId="0" fontId="5" fillId="2" borderId="6" xfId="2" applyFont="1" applyFill="1" applyBorder="1" applyAlignment="1">
      <alignment horizontal="right" vertical="center" wrapText="1"/>
    </xf>
    <xf numFmtId="0" fontId="7" fillId="2" borderId="6" xfId="2" applyFont="1" applyFill="1" applyBorder="1" applyAlignment="1">
      <alignment horizontal="right" vertical="center"/>
    </xf>
    <xf numFmtId="3" fontId="7" fillId="2" borderId="6" xfId="2" applyNumberFormat="1" applyFont="1" applyFill="1" applyBorder="1" applyAlignment="1">
      <alignment horizontal="right" vertical="center"/>
    </xf>
    <xf numFmtId="3" fontId="38" fillId="4" borderId="0" xfId="2" applyNumberFormat="1" applyFont="1" applyFill="1" applyAlignment="1">
      <alignment vertical="center"/>
    </xf>
    <xf numFmtId="0" fontId="5" fillId="0" borderId="6" xfId="5" applyNumberFormat="1" applyFont="1" applyBorder="1" applyAlignment="1">
      <alignment vertical="center" wrapText="1"/>
    </xf>
    <xf numFmtId="3" fontId="12" fillId="2" borderId="0" xfId="2" applyNumberFormat="1" applyFont="1" applyFill="1" applyAlignment="1" applyProtection="1">
      <alignment horizontal="center" vertical="center" wrapText="1"/>
      <protection locked="0"/>
    </xf>
    <xf numFmtId="3" fontId="5" fillId="2" borderId="0" xfId="2" applyNumberFormat="1" applyFont="1" applyFill="1" applyAlignment="1" applyProtection="1">
      <alignment horizontal="center" vertical="center"/>
      <protection locked="0"/>
    </xf>
    <xf numFmtId="0" fontId="10" fillId="0" borderId="0" xfId="0" applyFont="1" applyAlignment="1">
      <alignment horizontal="center" wrapText="1"/>
    </xf>
    <xf numFmtId="0" fontId="4" fillId="0" borderId="0" xfId="0" applyFont="1" applyAlignment="1">
      <alignment horizontal="center" vertical="top" wrapText="1"/>
    </xf>
    <xf numFmtId="0" fontId="21" fillId="0" borderId="0" xfId="0" applyFont="1" applyAlignment="1">
      <alignment horizontal="center" vertical="top"/>
    </xf>
    <xf numFmtId="49" fontId="4" fillId="0" borderId="0" xfId="2" applyNumberFormat="1" applyFont="1" applyAlignment="1" applyProtection="1">
      <alignment horizontal="center" vertical="center" wrapText="1"/>
      <protection locked="0"/>
    </xf>
    <xf numFmtId="3" fontId="5" fillId="0" borderId="0" xfId="2" applyNumberFormat="1" applyFont="1" applyAlignment="1" applyProtection="1">
      <alignment vertical="center" wrapText="1"/>
      <protection locked="0"/>
    </xf>
    <xf numFmtId="3" fontId="4" fillId="0" borderId="0" xfId="0" applyNumberFormat="1" applyFont="1"/>
    <xf numFmtId="3" fontId="3" fillId="0" borderId="0" xfId="0" applyNumberFormat="1" applyFont="1" applyAlignment="1">
      <alignment horizontal="center"/>
    </xf>
    <xf numFmtId="3" fontId="4" fillId="0" borderId="0" xfId="0" applyNumberFormat="1" applyFont="1" applyAlignment="1">
      <alignment horizontal="center" vertical="center"/>
    </xf>
    <xf numFmtId="3" fontId="5" fillId="0" borderId="0" xfId="0" applyNumberFormat="1" applyFont="1" applyAlignment="1">
      <alignment horizontal="center" vertical="center" wrapText="1"/>
    </xf>
    <xf numFmtId="3" fontId="8" fillId="0" borderId="8" xfId="0" applyNumberFormat="1" applyFont="1" applyBorder="1" applyAlignment="1">
      <alignment horizontal="center" vertical="center" wrapText="1"/>
    </xf>
    <xf numFmtId="3" fontId="4" fillId="0" borderId="0" xfId="0" applyNumberFormat="1" applyFont="1" applyAlignment="1">
      <alignment horizontal="center" wrapText="1"/>
    </xf>
    <xf numFmtId="3" fontId="11" fillId="0" borderId="0" xfId="0" applyNumberFormat="1" applyFont="1" applyAlignment="1">
      <alignment horizontal="center" wrapText="1"/>
    </xf>
    <xf numFmtId="3" fontId="20" fillId="0" borderId="5" xfId="0" applyNumberFormat="1" applyFont="1" applyBorder="1" applyAlignment="1">
      <alignment horizontal="center" vertical="center" wrapText="1"/>
    </xf>
    <xf numFmtId="3" fontId="12" fillId="0" borderId="6" xfId="0" applyNumberFormat="1" applyFont="1" applyBorder="1" applyAlignment="1">
      <alignment horizontal="center" vertical="center" wrapText="1"/>
    </xf>
    <xf numFmtId="3" fontId="9" fillId="0" borderId="0" xfId="0" applyNumberFormat="1" applyFont="1" applyAlignment="1">
      <alignment horizontal="center" wrapText="1"/>
    </xf>
    <xf numFmtId="3" fontId="12" fillId="0" borderId="5" xfId="0" applyNumberFormat="1" applyFont="1" applyBorder="1" applyAlignment="1">
      <alignment horizontal="center" vertical="center" wrapText="1"/>
    </xf>
    <xf numFmtId="3" fontId="12" fillId="0" borderId="0" xfId="0" applyNumberFormat="1" applyFont="1" applyAlignment="1">
      <alignment horizontal="center" wrapText="1"/>
    </xf>
    <xf numFmtId="3" fontId="14" fillId="0" borderId="6" xfId="0" applyNumberFormat="1" applyFont="1" applyBorder="1" applyAlignment="1">
      <alignment horizontal="left" vertical="center" wrapText="1"/>
    </xf>
    <xf numFmtId="3" fontId="5" fillId="0" borderId="6" xfId="1" applyNumberFormat="1" applyFont="1" applyFill="1" applyBorder="1" applyAlignment="1">
      <alignment horizontal="left" vertical="center"/>
    </xf>
    <xf numFmtId="3" fontId="12" fillId="0" borderId="0" xfId="0" applyNumberFormat="1" applyFont="1" applyAlignment="1">
      <alignment horizontal="center" vertical="center"/>
    </xf>
    <xf numFmtId="3" fontId="14" fillId="2" borderId="6" xfId="2" applyNumberFormat="1" applyFont="1" applyFill="1" applyBorder="1" applyAlignment="1">
      <alignment vertical="center"/>
    </xf>
    <xf numFmtId="3" fontId="39" fillId="2" borderId="0" xfId="2" applyNumberFormat="1" applyFont="1" applyFill="1" applyAlignment="1">
      <alignment vertical="center"/>
    </xf>
    <xf numFmtId="3" fontId="38" fillId="2" borderId="0" xfId="2" applyNumberFormat="1" applyFont="1" applyFill="1" applyAlignment="1">
      <alignment vertical="center"/>
    </xf>
    <xf numFmtId="3" fontId="13" fillId="2" borderId="6" xfId="2" applyNumberFormat="1" applyFont="1" applyFill="1" applyBorder="1" applyAlignment="1">
      <alignment vertical="center"/>
    </xf>
    <xf numFmtId="3" fontId="14" fillId="2" borderId="6" xfId="2" applyNumberFormat="1" applyFont="1" applyFill="1" applyBorder="1" applyAlignment="1">
      <alignment vertical="center" wrapText="1"/>
    </xf>
    <xf numFmtId="3" fontId="11" fillId="0" borderId="0" xfId="0" applyNumberFormat="1" applyFont="1" applyAlignment="1">
      <alignment horizontal="left" vertical="center" wrapText="1"/>
    </xf>
    <xf numFmtId="3" fontId="11" fillId="0" borderId="0" xfId="0" applyNumberFormat="1" applyFont="1" applyAlignment="1">
      <alignment wrapText="1"/>
    </xf>
    <xf numFmtId="3" fontId="13" fillId="0" borderId="0" xfId="0" applyNumberFormat="1" applyFont="1" applyAlignment="1">
      <alignment horizontal="right" vertical="center" wrapText="1"/>
    </xf>
    <xf numFmtId="3" fontId="11" fillId="0" borderId="0" xfId="0" applyNumberFormat="1" applyFont="1"/>
    <xf numFmtId="3" fontId="4" fillId="0" borderId="0" xfId="0" applyNumberFormat="1" applyFont="1" applyAlignment="1">
      <alignment wrapText="1"/>
    </xf>
    <xf numFmtId="3" fontId="5" fillId="0" borderId="0" xfId="2" applyNumberFormat="1" applyFont="1" applyAlignment="1" applyProtection="1">
      <alignment horizontal="center" vertical="center" wrapText="1"/>
      <protection locked="0"/>
    </xf>
    <xf numFmtId="0" fontId="8" fillId="0" borderId="6" xfId="2" quotePrefix="1" applyFont="1" applyBorder="1" applyAlignment="1">
      <alignment horizontal="left" vertical="center"/>
    </xf>
    <xf numFmtId="0" fontId="9" fillId="0" borderId="6" xfId="2" quotePrefix="1" applyFont="1" applyBorder="1" applyAlignment="1">
      <alignment horizontal="left" vertical="center" wrapText="1"/>
    </xf>
    <xf numFmtId="0" fontId="9" fillId="0" borderId="6" xfId="4" applyNumberFormat="1" applyFont="1" applyFill="1" applyBorder="1" applyAlignment="1" applyProtection="1">
      <alignment horizontal="center" vertical="center" wrapText="1"/>
      <protection locked="0"/>
    </xf>
    <xf numFmtId="0" fontId="20" fillId="0" borderId="6" xfId="4" applyNumberFormat="1" applyFont="1" applyFill="1" applyBorder="1" applyAlignment="1" applyProtection="1">
      <alignment horizontal="center" vertical="center"/>
    </xf>
    <xf numFmtId="0" fontId="9" fillId="0" borderId="6" xfId="4" applyNumberFormat="1" applyFont="1" applyFill="1" applyBorder="1" applyAlignment="1" applyProtection="1">
      <alignment horizontal="center" vertical="center"/>
      <protection locked="0"/>
    </xf>
    <xf numFmtId="0" fontId="9" fillId="0" borderId="6" xfId="2" quotePrefix="1" applyFont="1" applyBorder="1" applyAlignment="1">
      <alignment horizontal="left" vertical="center"/>
    </xf>
    <xf numFmtId="0" fontId="30" fillId="5" borderId="6" xfId="2" applyFont="1" applyFill="1" applyBorder="1" applyAlignment="1">
      <alignment horizontal="right" vertical="center"/>
    </xf>
    <xf numFmtId="0" fontId="12" fillId="2" borderId="6" xfId="2" applyFont="1" applyFill="1" applyBorder="1" applyAlignment="1" applyProtection="1">
      <alignment horizontal="left" vertical="center" wrapText="1"/>
      <protection locked="0"/>
    </xf>
    <xf numFmtId="0" fontId="12" fillId="2" borderId="0" xfId="2" applyFont="1" applyFill="1" applyAlignment="1" applyProtection="1">
      <alignment horizontal="justify" vertical="center" wrapText="1"/>
      <protection locked="0"/>
    </xf>
    <xf numFmtId="3" fontId="5" fillId="2" borderId="0" xfId="2" applyNumberFormat="1" applyFont="1" applyFill="1" applyAlignment="1" applyProtection="1">
      <alignment horizontal="center" vertical="center" wrapText="1"/>
      <protection locked="0"/>
    </xf>
    <xf numFmtId="0" fontId="12" fillId="2" borderId="0" xfId="2" quotePrefix="1" applyFont="1" applyFill="1" applyAlignment="1" applyProtection="1">
      <alignment horizontal="center" vertical="center"/>
      <protection locked="0"/>
    </xf>
    <xf numFmtId="0" fontId="3" fillId="0" borderId="0" xfId="2" applyFont="1" applyAlignment="1">
      <alignment horizontal="center" vertical="top"/>
    </xf>
    <xf numFmtId="0" fontId="7" fillId="0" borderId="0" xfId="2" applyFont="1" applyAlignment="1">
      <alignment horizontal="center" vertical="center"/>
    </xf>
    <xf numFmtId="0" fontId="24" fillId="0" borderId="0" xfId="2" applyFont="1" applyAlignment="1">
      <alignment horizontal="center" vertical="center" wrapText="1"/>
    </xf>
    <xf numFmtId="0" fontId="27" fillId="0" borderId="0" xfId="2" applyFont="1" applyAlignment="1">
      <alignment horizontal="center" vertical="center"/>
    </xf>
    <xf numFmtId="0" fontId="8" fillId="0" borderId="6" xfId="2" applyFont="1" applyBorder="1" applyAlignment="1">
      <alignment horizontal="center" vertical="center"/>
    </xf>
    <xf numFmtId="0" fontId="8" fillId="0" borderId="6" xfId="2" applyFont="1" applyBorder="1" applyAlignment="1">
      <alignment horizontal="center" vertical="center" wrapText="1"/>
    </xf>
    <xf numFmtId="3" fontId="3" fillId="0" borderId="0" xfId="0" applyNumberFormat="1" applyFont="1" applyAlignment="1">
      <alignment horizontal="center"/>
    </xf>
    <xf numFmtId="3" fontId="7" fillId="0" borderId="0" xfId="0" applyNumberFormat="1" applyFont="1" applyAlignment="1">
      <alignment horizontal="center"/>
    </xf>
    <xf numFmtId="3" fontId="5" fillId="0" borderId="0" xfId="0" applyNumberFormat="1" applyFont="1" applyAlignment="1">
      <alignment horizontal="center" vertical="center" wrapText="1"/>
    </xf>
    <xf numFmtId="3" fontId="14" fillId="0" borderId="8" xfId="0" applyNumberFormat="1" applyFont="1" applyBorder="1" applyAlignment="1">
      <alignment horizontal="center" vertical="center" wrapText="1"/>
    </xf>
    <xf numFmtId="3" fontId="5" fillId="0" borderId="1" xfId="0" applyNumberFormat="1" applyFont="1" applyBorder="1" applyAlignment="1">
      <alignment horizontal="center" vertical="center" wrapText="1"/>
    </xf>
    <xf numFmtId="3" fontId="5" fillId="0" borderId="7" xfId="0" applyNumberFormat="1" applyFont="1" applyBorder="1" applyAlignment="1">
      <alignment horizontal="center" vertical="center" wrapText="1"/>
    </xf>
    <xf numFmtId="3" fontId="5" fillId="0" borderId="5" xfId="0" applyNumberFormat="1" applyFont="1" applyBorder="1" applyAlignment="1">
      <alignment horizontal="center" vertical="center" wrapText="1"/>
    </xf>
    <xf numFmtId="3" fontId="8" fillId="0" borderId="1" xfId="0" applyNumberFormat="1" applyFont="1" applyBorder="1" applyAlignment="1">
      <alignment horizontal="center" vertical="center" wrapText="1"/>
    </xf>
    <xf numFmtId="3" fontId="8" fillId="0" borderId="7" xfId="0" applyNumberFormat="1" applyFont="1" applyBorder="1" applyAlignment="1">
      <alignment horizontal="center" vertical="center" wrapText="1"/>
    </xf>
    <xf numFmtId="3" fontId="8" fillId="0" borderId="5" xfId="0" applyNumberFormat="1" applyFont="1" applyBorder="1" applyAlignment="1">
      <alignment horizontal="center" vertical="center" wrapText="1"/>
    </xf>
    <xf numFmtId="3" fontId="8" fillId="0" borderId="12" xfId="0" applyNumberFormat="1" applyFont="1" applyBorder="1" applyAlignment="1">
      <alignment horizontal="center" vertical="center" wrapText="1"/>
    </xf>
    <xf numFmtId="3" fontId="8" fillId="0" borderId="9" xfId="0" applyNumberFormat="1" applyFont="1" applyBorder="1" applyAlignment="1">
      <alignment horizontal="center" vertical="center" wrapText="1"/>
    </xf>
    <xf numFmtId="3" fontId="8" fillId="0" borderId="13" xfId="0" applyNumberFormat="1" applyFont="1" applyBorder="1" applyAlignment="1">
      <alignment horizontal="center" vertical="center" wrapText="1"/>
    </xf>
    <xf numFmtId="3" fontId="13" fillId="0" borderId="9" xfId="0" applyNumberFormat="1" applyFont="1" applyBorder="1" applyAlignment="1">
      <alignment horizontal="left" vertical="center" wrapText="1"/>
    </xf>
    <xf numFmtId="3" fontId="20" fillId="0" borderId="1" xfId="0" applyNumberFormat="1" applyFont="1" applyBorder="1" applyAlignment="1">
      <alignment horizontal="center" vertical="center" wrapText="1"/>
    </xf>
    <xf numFmtId="3" fontId="20" fillId="0" borderId="5" xfId="0" applyNumberFormat="1" applyFont="1" applyBorder="1" applyAlignment="1">
      <alignment horizontal="center" vertical="center" wrapText="1"/>
    </xf>
    <xf numFmtId="3" fontId="20" fillId="0" borderId="2" xfId="0" applyNumberFormat="1" applyFont="1" applyBorder="1" applyAlignment="1">
      <alignment horizontal="center" vertical="center" wrapText="1"/>
    </xf>
    <xf numFmtId="3" fontId="20" fillId="0" borderId="4" xfId="0" applyNumberFormat="1" applyFont="1" applyBorder="1" applyAlignment="1">
      <alignment horizontal="center" vertical="center" wrapText="1"/>
    </xf>
    <xf numFmtId="0" fontId="7" fillId="2" borderId="0" xfId="2" quotePrefix="1" applyFont="1" applyFill="1" applyAlignment="1" applyProtection="1">
      <alignment horizontal="center" vertical="center"/>
      <protection locked="0"/>
    </xf>
    <xf numFmtId="0" fontId="5" fillId="2" borderId="1" xfId="2" applyFont="1" applyFill="1" applyBorder="1" applyAlignment="1" applyProtection="1">
      <alignment horizontal="center" vertical="center"/>
      <protection locked="0"/>
    </xf>
    <xf numFmtId="0" fontId="5" fillId="2" borderId="5" xfId="2" applyFont="1" applyFill="1" applyBorder="1" applyAlignment="1" applyProtection="1">
      <alignment horizontal="center" vertical="center"/>
      <protection locked="0"/>
    </xf>
    <xf numFmtId="0" fontId="5" fillId="0" borderId="1" xfId="0" applyFont="1" applyBorder="1" applyAlignment="1" applyProtection="1">
      <alignment horizontal="center" vertical="center" wrapText="1"/>
      <protection locked="0"/>
    </xf>
    <xf numFmtId="0" fontId="5" fillId="0" borderId="5" xfId="0" applyFont="1" applyBorder="1" applyAlignment="1" applyProtection="1">
      <alignment horizontal="center" vertical="center" wrapText="1"/>
      <protection locked="0"/>
    </xf>
    <xf numFmtId="0" fontId="5" fillId="2" borderId="6" xfId="2" applyFont="1" applyFill="1" applyBorder="1" applyAlignment="1" applyProtection="1">
      <alignment horizontal="center" vertical="center" wrapText="1"/>
      <protection locked="0"/>
    </xf>
    <xf numFmtId="0" fontId="5" fillId="3" borderId="6" xfId="2" applyFont="1" applyFill="1" applyBorder="1" applyAlignment="1" applyProtection="1">
      <alignment horizontal="center" vertical="center"/>
      <protection locked="0"/>
    </xf>
    <xf numFmtId="0" fontId="4" fillId="3" borderId="6" xfId="2" applyFont="1" applyFill="1" applyBorder="1" applyAlignment="1" applyProtection="1">
      <alignment horizontal="center" vertical="center"/>
      <protection locked="0"/>
    </xf>
    <xf numFmtId="0" fontId="5" fillId="3" borderId="2" xfId="2" applyFont="1" applyFill="1" applyBorder="1" applyAlignment="1" applyProtection="1">
      <alignment horizontal="center" vertical="center" wrapText="1"/>
      <protection locked="0"/>
    </xf>
    <xf numFmtId="0" fontId="5" fillId="3" borderId="3" xfId="2" applyFont="1" applyFill="1" applyBorder="1" applyAlignment="1" applyProtection="1">
      <alignment horizontal="center" vertical="center" wrapText="1"/>
      <protection locked="0"/>
    </xf>
    <xf numFmtId="0" fontId="7" fillId="2" borderId="9" xfId="2" applyFont="1" applyFill="1" applyBorder="1" applyAlignment="1" applyProtection="1">
      <alignment horizontal="left" vertical="center" wrapText="1"/>
      <protection locked="0"/>
    </xf>
    <xf numFmtId="0" fontId="3" fillId="0" borderId="0" xfId="2" applyFont="1" applyAlignment="1" applyProtection="1">
      <alignment horizontal="center" vertical="top"/>
      <protection locked="0"/>
    </xf>
    <xf numFmtId="0" fontId="7" fillId="0" borderId="0" xfId="2" applyFont="1" applyAlignment="1" applyProtection="1">
      <alignment horizontal="center" vertical="center"/>
      <protection locked="0"/>
    </xf>
    <xf numFmtId="49" fontId="5" fillId="0" borderId="0" xfId="2" applyNumberFormat="1" applyFont="1" applyAlignment="1" applyProtection="1">
      <alignment horizontal="center" vertical="center" wrapText="1"/>
      <protection locked="0"/>
    </xf>
    <xf numFmtId="0" fontId="5" fillId="0" borderId="6" xfId="0" applyFont="1" applyBorder="1" applyAlignment="1" applyProtection="1">
      <alignment horizontal="center" vertical="center" wrapText="1"/>
      <protection locked="0"/>
    </xf>
    <xf numFmtId="0" fontId="14" fillId="0" borderId="8" xfId="2" applyFont="1" applyBorder="1" applyAlignment="1" applyProtection="1">
      <alignment horizontal="center"/>
      <protection locked="0"/>
    </xf>
    <xf numFmtId="0" fontId="20" fillId="0" borderId="0" xfId="2" applyFont="1" applyAlignment="1" applyProtection="1">
      <alignment horizontal="center" vertical="center"/>
      <protection locked="0"/>
    </xf>
    <xf numFmtId="0" fontId="3" fillId="0" borderId="0" xfId="0" applyFont="1" applyAlignment="1">
      <alignment horizontal="center" vertical="top"/>
    </xf>
    <xf numFmtId="0" fontId="7" fillId="0" borderId="0" xfId="0" applyFont="1" applyAlignment="1">
      <alignment horizontal="center"/>
    </xf>
    <xf numFmtId="0" fontId="5" fillId="0" borderId="0" xfId="2" applyFont="1" applyAlignment="1" applyProtection="1">
      <alignment horizontal="center" vertical="center" wrapText="1"/>
      <protection locked="0"/>
    </xf>
    <xf numFmtId="0" fontId="14" fillId="0" borderId="0" xfId="2" applyFont="1" applyAlignment="1" applyProtection="1">
      <alignment horizontal="right" vertical="center" wrapText="1"/>
      <protection locked="0"/>
    </xf>
    <xf numFmtId="0" fontId="5" fillId="2" borderId="1" xfId="2" applyFont="1" applyFill="1" applyBorder="1" applyAlignment="1">
      <alignment horizontal="center" vertical="center" wrapText="1"/>
    </xf>
    <xf numFmtId="0" fontId="5" fillId="2" borderId="5" xfId="2" applyFont="1" applyFill="1" applyBorder="1" applyAlignment="1">
      <alignment horizontal="center" vertical="center" wrapText="1"/>
    </xf>
    <xf numFmtId="0" fontId="5" fillId="2" borderId="6" xfId="2" applyFont="1" applyFill="1" applyBorder="1" applyAlignment="1">
      <alignment horizontal="center" vertical="center" wrapText="1"/>
    </xf>
    <xf numFmtId="0" fontId="10" fillId="0" borderId="0" xfId="0" applyFont="1" applyAlignment="1">
      <alignment horizontal="center" wrapText="1"/>
    </xf>
    <xf numFmtId="0" fontId="10" fillId="0" borderId="0" xfId="0" applyFont="1" applyAlignment="1">
      <alignment horizontal="center"/>
    </xf>
    <xf numFmtId="0" fontId="2" fillId="0" borderId="0" xfId="0" applyFont="1" applyAlignment="1">
      <alignment horizontal="center" vertical="center"/>
    </xf>
    <xf numFmtId="0" fontId="3" fillId="0" borderId="0" xfId="0" applyFont="1" applyAlignment="1">
      <alignment horizontal="center" vertical="top" wrapText="1"/>
    </xf>
    <xf numFmtId="0" fontId="7" fillId="0" borderId="0" xfId="0" applyFont="1" applyAlignment="1">
      <alignment horizontal="center" vertical="center" wrapText="1"/>
    </xf>
    <xf numFmtId="0" fontId="14" fillId="0" borderId="8" xfId="0" applyFont="1" applyBorder="1" applyAlignment="1">
      <alignment horizontal="right" vertical="center" wrapText="1"/>
    </xf>
    <xf numFmtId="0" fontId="15" fillId="0" borderId="0" xfId="0" applyFont="1" applyAlignment="1">
      <alignment horizontal="center" vertical="center" wrapText="1"/>
    </xf>
    <xf numFmtId="0" fontId="5" fillId="0" borderId="6" xfId="0" applyFont="1" applyBorder="1" applyAlignment="1">
      <alignment horizontal="center" vertical="center"/>
    </xf>
    <xf numFmtId="14" fontId="5" fillId="0" borderId="6" xfId="0" applyNumberFormat="1" applyFont="1" applyBorder="1" applyAlignment="1">
      <alignment horizontal="center" vertical="center" wrapText="1"/>
    </xf>
    <xf numFmtId="0" fontId="5" fillId="0" borderId="6" xfId="0" applyFont="1" applyBorder="1" applyAlignment="1">
      <alignment horizontal="center" vertical="center" wrapText="1"/>
    </xf>
    <xf numFmtId="0" fontId="5" fillId="2" borderId="0" xfId="2" applyFont="1" applyFill="1" applyAlignment="1" applyProtection="1">
      <alignment horizontal="center" vertical="center"/>
      <protection locked="0"/>
    </xf>
    <xf numFmtId="0" fontId="12" fillId="2" borderId="0" xfId="2" applyFont="1" applyFill="1" applyAlignment="1" applyProtection="1">
      <alignment horizontal="center" vertical="center" wrapText="1"/>
      <protection locked="0"/>
    </xf>
    <xf numFmtId="0" fontId="48" fillId="0" borderId="9" xfId="0" applyFont="1" applyBorder="1" applyAlignment="1">
      <alignment horizontal="left" vertical="center"/>
    </xf>
    <xf numFmtId="0" fontId="13" fillId="0" borderId="0" xfId="0" applyFont="1" applyAlignment="1">
      <alignment horizontal="justify" vertical="center" wrapText="1"/>
    </xf>
    <xf numFmtId="0" fontId="52" fillId="0" borderId="0" xfId="2" applyFont="1" applyAlignment="1" applyProtection="1">
      <alignment horizontal="center" vertical="center" wrapText="1"/>
      <protection locked="0"/>
    </xf>
    <xf numFmtId="0" fontId="12" fillId="0" borderId="0" xfId="2" applyFont="1" applyAlignment="1" applyProtection="1">
      <alignment horizontal="center" vertical="center" wrapText="1"/>
      <protection locked="0"/>
    </xf>
    <xf numFmtId="0" fontId="14" fillId="0" borderId="6" xfId="2" applyFont="1" applyBorder="1" applyAlignment="1" applyProtection="1">
      <alignment horizontal="center" vertical="center" wrapText="1"/>
      <protection locked="0"/>
    </xf>
    <xf numFmtId="0" fontId="5" fillId="0" borderId="6" xfId="2" applyFont="1" applyBorder="1" applyAlignment="1">
      <alignment horizontal="center" vertical="center"/>
    </xf>
    <xf numFmtId="49" fontId="7" fillId="0" borderId="0" xfId="2" applyNumberFormat="1" applyFont="1" applyAlignment="1" applyProtection="1">
      <alignment horizontal="center" vertical="center" wrapText="1"/>
      <protection locked="0"/>
    </xf>
    <xf numFmtId="0" fontId="5" fillId="2" borderId="1" xfId="2" applyFont="1" applyFill="1" applyBorder="1" applyAlignment="1" applyProtection="1">
      <alignment horizontal="center" vertical="center" wrapText="1"/>
      <protection locked="0"/>
    </xf>
    <xf numFmtId="0" fontId="5" fillId="2" borderId="5" xfId="2" applyFont="1" applyFill="1" applyBorder="1" applyAlignment="1" applyProtection="1">
      <alignment horizontal="center" vertical="center" wrapText="1"/>
      <protection locked="0"/>
    </xf>
    <xf numFmtId="0" fontId="5" fillId="0" borderId="8" xfId="2" applyFont="1" applyBorder="1" applyAlignment="1" applyProtection="1">
      <alignment horizontal="center"/>
      <protection locked="0"/>
    </xf>
    <xf numFmtId="0" fontId="3" fillId="0" borderId="0" xfId="2" applyFont="1" applyAlignment="1" applyProtection="1">
      <alignment horizontal="center" vertical="center"/>
      <protection locked="0"/>
    </xf>
    <xf numFmtId="0" fontId="5" fillId="0" borderId="0" xfId="2" applyFont="1" applyAlignment="1" applyProtection="1">
      <alignment horizontal="center" vertical="center"/>
      <protection locked="0"/>
    </xf>
    <xf numFmtId="0" fontId="14" fillId="0" borderId="8" xfId="2" applyFont="1" applyBorder="1" applyAlignment="1" applyProtection="1">
      <alignment horizontal="right"/>
      <protection locked="0"/>
    </xf>
    <xf numFmtId="0" fontId="5" fillId="3" borderId="2" xfId="2" applyFont="1" applyFill="1" applyBorder="1" applyAlignment="1" applyProtection="1">
      <alignment horizontal="center" vertical="center"/>
      <protection locked="0"/>
    </xf>
    <xf numFmtId="0" fontId="5" fillId="3" borderId="3" xfId="2" applyFont="1" applyFill="1" applyBorder="1" applyAlignment="1" applyProtection="1">
      <alignment horizontal="center" vertical="center"/>
      <protection locked="0"/>
    </xf>
    <xf numFmtId="0" fontId="5" fillId="3" borderId="4" xfId="2" applyFont="1" applyFill="1" applyBorder="1" applyAlignment="1" applyProtection="1">
      <alignment horizontal="center" vertical="center"/>
      <protection locked="0"/>
    </xf>
    <xf numFmtId="0" fontId="7" fillId="2" borderId="0" xfId="2" applyFont="1" applyFill="1" applyAlignment="1" applyProtection="1">
      <alignment horizontal="center" vertical="center" wrapText="1"/>
      <protection locked="0"/>
    </xf>
    <xf numFmtId="3" fontId="5" fillId="2" borderId="9" xfId="2" applyNumberFormat="1" applyFont="1" applyFill="1" applyBorder="1" applyAlignment="1" applyProtection="1">
      <alignment horizontal="center" vertical="center" wrapText="1"/>
      <protection locked="0"/>
    </xf>
    <xf numFmtId="0" fontId="7" fillId="0" borderId="0" xfId="0" applyFont="1" applyAlignment="1">
      <alignment horizontal="center" vertical="top"/>
    </xf>
    <xf numFmtId="0" fontId="5" fillId="0" borderId="0" xfId="0" applyFont="1" applyAlignment="1">
      <alignment horizontal="center"/>
    </xf>
    <xf numFmtId="0" fontId="5" fillId="0" borderId="0" xfId="0" applyFont="1" applyAlignment="1">
      <alignment horizontal="center" vertical="center" wrapText="1"/>
    </xf>
    <xf numFmtId="0" fontId="5" fillId="0" borderId="0" xfId="0" applyFont="1" applyAlignment="1">
      <alignment horizontal="center" vertical="center"/>
    </xf>
    <xf numFmtId="0" fontId="14" fillId="0" borderId="0" xfId="0" applyFont="1" applyAlignment="1">
      <alignment horizontal="right" wrapText="1"/>
    </xf>
    <xf numFmtId="0" fontId="5" fillId="0" borderId="0" xfId="0" applyFont="1" applyAlignment="1">
      <alignment horizontal="center" wrapText="1"/>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2" fillId="2" borderId="0" xfId="2" applyFont="1" applyFill="1" applyAlignment="1" applyProtection="1">
      <alignment horizontal="center" vertical="center"/>
      <protection locked="0"/>
    </xf>
    <xf numFmtId="0" fontId="5" fillId="0" borderId="0" xfId="0" applyFont="1" applyAlignment="1">
      <alignment horizontal="center" vertical="top" wrapText="1"/>
    </xf>
    <xf numFmtId="0" fontId="7" fillId="0" borderId="0" xfId="0" applyFont="1" applyAlignment="1">
      <alignment horizontal="center" vertical="center"/>
    </xf>
    <xf numFmtId="0" fontId="7" fillId="0" borderId="6" xfId="0" applyFont="1" applyBorder="1" applyAlignment="1">
      <alignment horizontal="center" vertical="center" wrapText="1"/>
    </xf>
    <xf numFmtId="9" fontId="5" fillId="0" borderId="0" xfId="5" applyFont="1" applyBorder="1" applyAlignment="1">
      <alignment horizontal="center" vertical="center"/>
    </xf>
    <xf numFmtId="9" fontId="14" fillId="0" borderId="8" xfId="5" applyFont="1" applyBorder="1" applyAlignment="1">
      <alignment horizontal="right" wrapText="1"/>
    </xf>
    <xf numFmtId="3" fontId="12" fillId="2" borderId="0" xfId="2" applyNumberFormat="1" applyFont="1" applyFill="1" applyAlignment="1" applyProtection="1">
      <alignment horizontal="center" vertical="center" wrapText="1"/>
      <protection locked="0"/>
    </xf>
    <xf numFmtId="3" fontId="5" fillId="2" borderId="0" xfId="2" applyNumberFormat="1" applyFont="1" applyFill="1" applyAlignment="1" applyProtection="1">
      <alignment horizontal="center" vertical="center"/>
      <protection locked="0"/>
    </xf>
    <xf numFmtId="0" fontId="5" fillId="3" borderId="11"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45" fillId="0" borderId="6" xfId="0" applyFont="1" applyBorder="1" applyAlignment="1">
      <alignment horizontal="center" vertical="center" wrapText="1"/>
    </xf>
    <xf numFmtId="0" fontId="14" fillId="0" borderId="8" xfId="0" applyFont="1" applyBorder="1" applyAlignment="1">
      <alignment horizontal="right" vertical="center"/>
    </xf>
  </cellXfs>
  <cellStyles count="6">
    <cellStyle name="Comma" xfId="1" builtinId="3"/>
    <cellStyle name="Comma 2" xfId="4" xr:uid="{00000000-0005-0000-0000-000001000000}"/>
    <cellStyle name="Normal" xfId="0" builtinId="0"/>
    <cellStyle name="Normal 2" xfId="2" xr:uid="{00000000-0005-0000-0000-000003000000}"/>
    <cellStyle name="Normal 2 2" xfId="3" xr:uid="{00000000-0005-0000-0000-000004000000}"/>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13</xdr:col>
      <xdr:colOff>475130</xdr:colOff>
      <xdr:row>5</xdr:row>
      <xdr:rowOff>173130</xdr:rowOff>
    </xdr:to>
    <xdr:sp macro="" textlink="">
      <xdr:nvSpPr>
        <xdr:cNvPr id="2" name="TextBox 1">
          <a:extLst>
            <a:ext uri="{FF2B5EF4-FFF2-40B4-BE49-F238E27FC236}">
              <a16:creationId xmlns:a16="http://schemas.microsoft.com/office/drawing/2014/main" id="{3456B3B7-0DCE-4672-B12F-1CC693F991D7}"/>
            </a:ext>
          </a:extLst>
        </xdr:cNvPr>
        <xdr:cNvSpPr txBox="1"/>
      </xdr:nvSpPr>
      <xdr:spPr>
        <a:xfrm>
          <a:off x="10744200" y="628650"/>
          <a:ext cx="5961530" cy="963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Lưu</a:t>
          </a:r>
          <a:r>
            <a:rPr lang="en-US" sz="1400" b="1" baseline="0"/>
            <a:t> ý:</a:t>
          </a:r>
        </a:p>
        <a:p>
          <a:r>
            <a:rPr lang="en-US" sz="1400" b="1" baseline="0"/>
            <a:t>(1) Các đơn vị chỉ nhập số liệu không được thêm, bớt hàng và cột</a:t>
          </a:r>
        </a:p>
        <a:p>
          <a:r>
            <a:rPr lang="en-US" sz="1400" b="1" baseline="0"/>
            <a:t>(2) Một số biểu đã được lập công thức tính tổng, chỉ cần nhập số chi tiết</a:t>
          </a:r>
        </a:p>
      </xdr:txBody>
    </xdr:sp>
    <xdr:clientData/>
  </xdr:twoCellAnchor>
  <xdr:twoCellAnchor editAs="oneCell">
    <xdr:from>
      <xdr:col>5</xdr:col>
      <xdr:colOff>0</xdr:colOff>
      <xdr:row>0</xdr:row>
      <xdr:rowOff>0</xdr:rowOff>
    </xdr:from>
    <xdr:to>
      <xdr:col>16</xdr:col>
      <xdr:colOff>228600</xdr:colOff>
      <xdr:row>29</xdr:row>
      <xdr:rowOff>193504</xdr:rowOff>
    </xdr:to>
    <xdr:pic>
      <xdr:nvPicPr>
        <xdr:cNvPr id="3" name="Picture 2">
          <a:extLst>
            <a:ext uri="{FF2B5EF4-FFF2-40B4-BE49-F238E27FC236}">
              <a16:creationId xmlns:a16="http://schemas.microsoft.com/office/drawing/2014/main" id="{90B93A1F-9478-E0F9-7A42-ABEFED94F461}"/>
            </a:ext>
          </a:extLst>
        </xdr:cNvPr>
        <xdr:cNvPicPr>
          <a:picLocks noChangeAspect="1"/>
        </xdr:cNvPicPr>
      </xdr:nvPicPr>
      <xdr:blipFill>
        <a:blip xmlns:r="http://schemas.openxmlformats.org/officeDocument/2006/relationships" r:embed="rId1"/>
        <a:stretch>
          <a:fillRect/>
        </a:stretch>
      </xdr:blipFill>
      <xdr:spPr>
        <a:xfrm>
          <a:off x="10744200" y="0"/>
          <a:ext cx="7772400" cy="68102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2</xdr:row>
      <xdr:rowOff>0</xdr:rowOff>
    </xdr:from>
    <xdr:to>
      <xdr:col>16</xdr:col>
      <xdr:colOff>475130</xdr:colOff>
      <xdr:row>6</xdr:row>
      <xdr:rowOff>163605</xdr:rowOff>
    </xdr:to>
    <xdr:sp macro="" textlink="">
      <xdr:nvSpPr>
        <xdr:cNvPr id="2" name="TextBox 1">
          <a:extLst>
            <a:ext uri="{FF2B5EF4-FFF2-40B4-BE49-F238E27FC236}">
              <a16:creationId xmlns:a16="http://schemas.microsoft.com/office/drawing/2014/main" id="{FF5C6BAE-19C2-4A99-9A23-34F52D640317}"/>
            </a:ext>
          </a:extLst>
        </xdr:cNvPr>
        <xdr:cNvSpPr txBox="1"/>
      </xdr:nvSpPr>
      <xdr:spPr>
        <a:xfrm>
          <a:off x="11487150" y="657225"/>
          <a:ext cx="5961530" cy="963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Lưu</a:t>
          </a:r>
          <a:r>
            <a:rPr lang="en-US" sz="1400" b="1" baseline="0"/>
            <a:t> ý:</a:t>
          </a:r>
        </a:p>
        <a:p>
          <a:r>
            <a:rPr lang="en-US" sz="1400" b="1" baseline="0"/>
            <a:t>(1) Các đơn vị chỉ nhập số liệu không được thêm, bớt hàng và cột</a:t>
          </a:r>
        </a:p>
        <a:p>
          <a:r>
            <a:rPr lang="en-US" sz="1400" b="1" baseline="0"/>
            <a:t>(2) Một số biểu đã được lập công thức tính tổng, chỉ cần nhập số chi tiết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0</xdr:colOff>
      <xdr:row>2</xdr:row>
      <xdr:rowOff>0</xdr:rowOff>
    </xdr:from>
    <xdr:to>
      <xdr:col>14</xdr:col>
      <xdr:colOff>493059</xdr:colOff>
      <xdr:row>5</xdr:row>
      <xdr:rowOff>78440</xdr:rowOff>
    </xdr:to>
    <xdr:sp macro="" textlink="">
      <xdr:nvSpPr>
        <xdr:cNvPr id="2" name="TextBox 1">
          <a:extLst>
            <a:ext uri="{FF2B5EF4-FFF2-40B4-BE49-F238E27FC236}">
              <a16:creationId xmlns:a16="http://schemas.microsoft.com/office/drawing/2014/main" id="{DD671D32-D679-40F2-8CF4-7305B5C4CE95}"/>
            </a:ext>
          </a:extLst>
        </xdr:cNvPr>
        <xdr:cNvSpPr txBox="1"/>
      </xdr:nvSpPr>
      <xdr:spPr>
        <a:xfrm>
          <a:off x="11497235" y="683559"/>
          <a:ext cx="5961530" cy="963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t>Lưu</a:t>
          </a:r>
          <a:r>
            <a:rPr lang="en-US" sz="1400" b="0" baseline="0"/>
            <a:t> ý:</a:t>
          </a:r>
        </a:p>
        <a:p>
          <a:r>
            <a:rPr lang="en-US" sz="1400" b="0" baseline="0"/>
            <a:t>(1) Các đơn vị chỉ nhập số liệu không được thêm, bớt hàng và cột</a:t>
          </a:r>
        </a:p>
        <a:p>
          <a:r>
            <a:rPr lang="en-US" sz="1400" b="0" baseline="0"/>
            <a:t>(2) Một số biểu đã được lập công thức tính tổng, chỉ cần nhập số chi tiết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2</xdr:row>
      <xdr:rowOff>0</xdr:rowOff>
    </xdr:from>
    <xdr:to>
      <xdr:col>14</xdr:col>
      <xdr:colOff>528139</xdr:colOff>
      <xdr:row>5</xdr:row>
      <xdr:rowOff>127162</xdr:rowOff>
    </xdr:to>
    <xdr:sp macro="" textlink="">
      <xdr:nvSpPr>
        <xdr:cNvPr id="2" name="TextBox 1">
          <a:extLst>
            <a:ext uri="{FF2B5EF4-FFF2-40B4-BE49-F238E27FC236}">
              <a16:creationId xmlns:a16="http://schemas.microsoft.com/office/drawing/2014/main" id="{F513286D-7895-4EAC-95C9-609093E65CDD}"/>
            </a:ext>
          </a:extLst>
        </xdr:cNvPr>
        <xdr:cNvSpPr txBox="1"/>
      </xdr:nvSpPr>
      <xdr:spPr>
        <a:xfrm>
          <a:off x="7644848" y="679174"/>
          <a:ext cx="5961530" cy="963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Lưu</a:t>
          </a:r>
          <a:r>
            <a:rPr lang="en-US" sz="1400" b="1" baseline="0"/>
            <a:t> ý:</a:t>
          </a:r>
        </a:p>
        <a:p>
          <a:r>
            <a:rPr lang="en-US" sz="1400" b="1" baseline="0"/>
            <a:t>(1) Các đơn vị chỉ nhập số liệu không được thêm, bớt hàng và cột</a:t>
          </a:r>
        </a:p>
        <a:p>
          <a:r>
            <a:rPr lang="en-US" sz="1400" b="1" baseline="0"/>
            <a:t>(2) Một số biểu đã được lập công thức tính tổng, chỉ cần nhập số chi tiết</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D0E0C-00A5-4573-8A8D-4940925B81D1}">
  <sheetPr>
    <tabColor rgb="FFFFFF00"/>
    <pageSetUpPr fitToPage="1"/>
  </sheetPr>
  <dimension ref="A1:G82"/>
  <sheetViews>
    <sheetView showGridLines="0" zoomScale="115" zoomScaleNormal="115" zoomScaleSheetLayoutView="115" workbookViewId="0">
      <selection activeCell="J6" sqref="J6"/>
    </sheetView>
  </sheetViews>
  <sheetFormatPr baseColWidth="10" defaultColWidth="8.83203125" defaultRowHeight="16" x14ac:dyDescent="0.2"/>
  <cols>
    <col min="1" max="1" width="37.5" style="239" customWidth="1"/>
    <col min="2" max="2" width="9.6640625" style="215" customWidth="1"/>
    <col min="3" max="3" width="15" style="215" customWidth="1"/>
    <col min="4" max="5" width="7.6640625" style="215" customWidth="1"/>
    <col min="6" max="6" width="8.33203125" style="215" customWidth="1"/>
    <col min="7" max="7" width="9.6640625" style="215" customWidth="1"/>
    <col min="8" max="245" width="8.83203125" style="215"/>
    <col min="246" max="246" width="4.5" style="215" customWidth="1"/>
    <col min="247" max="247" width="39.5" style="215" customWidth="1"/>
    <col min="248" max="251" width="12.33203125" style="215" customWidth="1"/>
    <col min="252" max="252" width="7.83203125" style="215" customWidth="1"/>
    <col min="253" max="501" width="8.83203125" style="215"/>
    <col min="502" max="502" width="4.5" style="215" customWidth="1"/>
    <col min="503" max="503" width="39.5" style="215" customWidth="1"/>
    <col min="504" max="507" width="12.33203125" style="215" customWidth="1"/>
    <col min="508" max="508" width="7.83203125" style="215" customWidth="1"/>
    <col min="509" max="757" width="8.83203125" style="215"/>
    <col min="758" max="758" width="4.5" style="215" customWidth="1"/>
    <col min="759" max="759" width="39.5" style="215" customWidth="1"/>
    <col min="760" max="763" width="12.33203125" style="215" customWidth="1"/>
    <col min="764" max="764" width="7.83203125" style="215" customWidth="1"/>
    <col min="765" max="1013" width="8.83203125" style="215"/>
    <col min="1014" max="1014" width="4.5" style="215" customWidth="1"/>
    <col min="1015" max="1015" width="39.5" style="215" customWidth="1"/>
    <col min="1016" max="1019" width="12.33203125" style="215" customWidth="1"/>
    <col min="1020" max="1020" width="7.83203125" style="215" customWidth="1"/>
    <col min="1021" max="1269" width="8.83203125" style="215"/>
    <col min="1270" max="1270" width="4.5" style="215" customWidth="1"/>
    <col min="1271" max="1271" width="39.5" style="215" customWidth="1"/>
    <col min="1272" max="1275" width="12.33203125" style="215" customWidth="1"/>
    <col min="1276" max="1276" width="7.83203125" style="215" customWidth="1"/>
    <col min="1277" max="1525" width="8.83203125" style="215"/>
    <col min="1526" max="1526" width="4.5" style="215" customWidth="1"/>
    <col min="1527" max="1527" width="39.5" style="215" customWidth="1"/>
    <col min="1528" max="1531" width="12.33203125" style="215" customWidth="1"/>
    <col min="1532" max="1532" width="7.83203125" style="215" customWidth="1"/>
    <col min="1533" max="1781" width="8.83203125" style="215"/>
    <col min="1782" max="1782" width="4.5" style="215" customWidth="1"/>
    <col min="1783" max="1783" width="39.5" style="215" customWidth="1"/>
    <col min="1784" max="1787" width="12.33203125" style="215" customWidth="1"/>
    <col min="1788" max="1788" width="7.83203125" style="215" customWidth="1"/>
    <col min="1789" max="2037" width="8.83203125" style="215"/>
    <col min="2038" max="2038" width="4.5" style="215" customWidth="1"/>
    <col min="2039" max="2039" width="39.5" style="215" customWidth="1"/>
    <col min="2040" max="2043" width="12.33203125" style="215" customWidth="1"/>
    <col min="2044" max="2044" width="7.83203125" style="215" customWidth="1"/>
    <col min="2045" max="2293" width="8.83203125" style="215"/>
    <col min="2294" max="2294" width="4.5" style="215" customWidth="1"/>
    <col min="2295" max="2295" width="39.5" style="215" customWidth="1"/>
    <col min="2296" max="2299" width="12.33203125" style="215" customWidth="1"/>
    <col min="2300" max="2300" width="7.83203125" style="215" customWidth="1"/>
    <col min="2301" max="2549" width="8.83203125" style="215"/>
    <col min="2550" max="2550" width="4.5" style="215" customWidth="1"/>
    <col min="2551" max="2551" width="39.5" style="215" customWidth="1"/>
    <col min="2552" max="2555" width="12.33203125" style="215" customWidth="1"/>
    <col min="2556" max="2556" width="7.83203125" style="215" customWidth="1"/>
    <col min="2557" max="2805" width="8.83203125" style="215"/>
    <col min="2806" max="2806" width="4.5" style="215" customWidth="1"/>
    <col min="2807" max="2807" width="39.5" style="215" customWidth="1"/>
    <col min="2808" max="2811" width="12.33203125" style="215" customWidth="1"/>
    <col min="2812" max="2812" width="7.83203125" style="215" customWidth="1"/>
    <col min="2813" max="3061" width="8.83203125" style="215"/>
    <col min="3062" max="3062" width="4.5" style="215" customWidth="1"/>
    <col min="3063" max="3063" width="39.5" style="215" customWidth="1"/>
    <col min="3064" max="3067" width="12.33203125" style="215" customWidth="1"/>
    <col min="3068" max="3068" width="7.83203125" style="215" customWidth="1"/>
    <col min="3069" max="3317" width="8.83203125" style="215"/>
    <col min="3318" max="3318" width="4.5" style="215" customWidth="1"/>
    <col min="3319" max="3319" width="39.5" style="215" customWidth="1"/>
    <col min="3320" max="3323" width="12.33203125" style="215" customWidth="1"/>
    <col min="3324" max="3324" width="7.83203125" style="215" customWidth="1"/>
    <col min="3325" max="3573" width="8.83203125" style="215"/>
    <col min="3574" max="3574" width="4.5" style="215" customWidth="1"/>
    <col min="3575" max="3575" width="39.5" style="215" customWidth="1"/>
    <col min="3576" max="3579" width="12.33203125" style="215" customWidth="1"/>
    <col min="3580" max="3580" width="7.83203125" style="215" customWidth="1"/>
    <col min="3581" max="3829" width="8.83203125" style="215"/>
    <col min="3830" max="3830" width="4.5" style="215" customWidth="1"/>
    <col min="3831" max="3831" width="39.5" style="215" customWidth="1"/>
    <col min="3832" max="3835" width="12.33203125" style="215" customWidth="1"/>
    <col min="3836" max="3836" width="7.83203125" style="215" customWidth="1"/>
    <col min="3837" max="4085" width="8.83203125" style="215"/>
    <col min="4086" max="4086" width="4.5" style="215" customWidth="1"/>
    <col min="4087" max="4087" width="39.5" style="215" customWidth="1"/>
    <col min="4088" max="4091" width="12.33203125" style="215" customWidth="1"/>
    <col min="4092" max="4092" width="7.83203125" style="215" customWidth="1"/>
    <col min="4093" max="4341" width="8.83203125" style="215"/>
    <col min="4342" max="4342" width="4.5" style="215" customWidth="1"/>
    <col min="4343" max="4343" width="39.5" style="215" customWidth="1"/>
    <col min="4344" max="4347" width="12.33203125" style="215" customWidth="1"/>
    <col min="4348" max="4348" width="7.83203125" style="215" customWidth="1"/>
    <col min="4349" max="4597" width="8.83203125" style="215"/>
    <col min="4598" max="4598" width="4.5" style="215" customWidth="1"/>
    <col min="4599" max="4599" width="39.5" style="215" customWidth="1"/>
    <col min="4600" max="4603" width="12.33203125" style="215" customWidth="1"/>
    <col min="4604" max="4604" width="7.83203125" style="215" customWidth="1"/>
    <col min="4605" max="4853" width="8.83203125" style="215"/>
    <col min="4854" max="4854" width="4.5" style="215" customWidth="1"/>
    <col min="4855" max="4855" width="39.5" style="215" customWidth="1"/>
    <col min="4856" max="4859" width="12.33203125" style="215" customWidth="1"/>
    <col min="4860" max="4860" width="7.83203125" style="215" customWidth="1"/>
    <col min="4861" max="5109" width="8.83203125" style="215"/>
    <col min="5110" max="5110" width="4.5" style="215" customWidth="1"/>
    <col min="5111" max="5111" width="39.5" style="215" customWidth="1"/>
    <col min="5112" max="5115" width="12.33203125" style="215" customWidth="1"/>
    <col min="5116" max="5116" width="7.83203125" style="215" customWidth="1"/>
    <col min="5117" max="5365" width="8.83203125" style="215"/>
    <col min="5366" max="5366" width="4.5" style="215" customWidth="1"/>
    <col min="5367" max="5367" width="39.5" style="215" customWidth="1"/>
    <col min="5368" max="5371" width="12.33203125" style="215" customWidth="1"/>
    <col min="5372" max="5372" width="7.83203125" style="215" customWidth="1"/>
    <col min="5373" max="5621" width="8.83203125" style="215"/>
    <col min="5622" max="5622" width="4.5" style="215" customWidth="1"/>
    <col min="5623" max="5623" width="39.5" style="215" customWidth="1"/>
    <col min="5624" max="5627" width="12.33203125" style="215" customWidth="1"/>
    <col min="5628" max="5628" width="7.83203125" style="215" customWidth="1"/>
    <col min="5629" max="5877" width="8.83203125" style="215"/>
    <col min="5878" max="5878" width="4.5" style="215" customWidth="1"/>
    <col min="5879" max="5879" width="39.5" style="215" customWidth="1"/>
    <col min="5880" max="5883" width="12.33203125" style="215" customWidth="1"/>
    <col min="5884" max="5884" width="7.83203125" style="215" customWidth="1"/>
    <col min="5885" max="6133" width="8.83203125" style="215"/>
    <col min="6134" max="6134" width="4.5" style="215" customWidth="1"/>
    <col min="6135" max="6135" width="39.5" style="215" customWidth="1"/>
    <col min="6136" max="6139" width="12.33203125" style="215" customWidth="1"/>
    <col min="6140" max="6140" width="7.83203125" style="215" customWidth="1"/>
    <col min="6141" max="6389" width="8.83203125" style="215"/>
    <col min="6390" max="6390" width="4.5" style="215" customWidth="1"/>
    <col min="6391" max="6391" width="39.5" style="215" customWidth="1"/>
    <col min="6392" max="6395" width="12.33203125" style="215" customWidth="1"/>
    <col min="6396" max="6396" width="7.83203125" style="215" customWidth="1"/>
    <col min="6397" max="6645" width="8.83203125" style="215"/>
    <col min="6646" max="6646" width="4.5" style="215" customWidth="1"/>
    <col min="6647" max="6647" width="39.5" style="215" customWidth="1"/>
    <col min="6648" max="6651" width="12.33203125" style="215" customWidth="1"/>
    <col min="6652" max="6652" width="7.83203125" style="215" customWidth="1"/>
    <col min="6653" max="6901" width="8.83203125" style="215"/>
    <col min="6902" max="6902" width="4.5" style="215" customWidth="1"/>
    <col min="6903" max="6903" width="39.5" style="215" customWidth="1"/>
    <col min="6904" max="6907" width="12.33203125" style="215" customWidth="1"/>
    <col min="6908" max="6908" width="7.83203125" style="215" customWidth="1"/>
    <col min="6909" max="7157" width="8.83203125" style="215"/>
    <col min="7158" max="7158" width="4.5" style="215" customWidth="1"/>
    <col min="7159" max="7159" width="39.5" style="215" customWidth="1"/>
    <col min="7160" max="7163" width="12.33203125" style="215" customWidth="1"/>
    <col min="7164" max="7164" width="7.83203125" style="215" customWidth="1"/>
    <col min="7165" max="7413" width="8.83203125" style="215"/>
    <col min="7414" max="7414" width="4.5" style="215" customWidth="1"/>
    <col min="7415" max="7415" width="39.5" style="215" customWidth="1"/>
    <col min="7416" max="7419" width="12.33203125" style="215" customWidth="1"/>
    <col min="7420" max="7420" width="7.83203125" style="215" customWidth="1"/>
    <col min="7421" max="7669" width="8.83203125" style="215"/>
    <col min="7670" max="7670" width="4.5" style="215" customWidth="1"/>
    <col min="7671" max="7671" width="39.5" style="215" customWidth="1"/>
    <col min="7672" max="7675" width="12.33203125" style="215" customWidth="1"/>
    <col min="7676" max="7676" width="7.83203125" style="215" customWidth="1"/>
    <col min="7677" max="7925" width="8.83203125" style="215"/>
    <col min="7926" max="7926" width="4.5" style="215" customWidth="1"/>
    <col min="7927" max="7927" width="39.5" style="215" customWidth="1"/>
    <col min="7928" max="7931" width="12.33203125" style="215" customWidth="1"/>
    <col min="7932" max="7932" width="7.83203125" style="215" customWidth="1"/>
    <col min="7933" max="8181" width="8.83203125" style="215"/>
    <col min="8182" max="8182" width="4.5" style="215" customWidth="1"/>
    <col min="8183" max="8183" width="39.5" style="215" customWidth="1"/>
    <col min="8184" max="8187" width="12.33203125" style="215" customWidth="1"/>
    <col min="8188" max="8188" width="7.83203125" style="215" customWidth="1"/>
    <col min="8189" max="8437" width="8.83203125" style="215"/>
    <col min="8438" max="8438" width="4.5" style="215" customWidth="1"/>
    <col min="8439" max="8439" width="39.5" style="215" customWidth="1"/>
    <col min="8440" max="8443" width="12.33203125" style="215" customWidth="1"/>
    <col min="8444" max="8444" width="7.83203125" style="215" customWidth="1"/>
    <col min="8445" max="8693" width="8.83203125" style="215"/>
    <col min="8694" max="8694" width="4.5" style="215" customWidth="1"/>
    <col min="8695" max="8695" width="39.5" style="215" customWidth="1"/>
    <col min="8696" max="8699" width="12.33203125" style="215" customWidth="1"/>
    <col min="8700" max="8700" width="7.83203125" style="215" customWidth="1"/>
    <col min="8701" max="8949" width="8.83203125" style="215"/>
    <col min="8950" max="8950" width="4.5" style="215" customWidth="1"/>
    <col min="8951" max="8951" width="39.5" style="215" customWidth="1"/>
    <col min="8952" max="8955" width="12.33203125" style="215" customWidth="1"/>
    <col min="8956" max="8956" width="7.83203125" style="215" customWidth="1"/>
    <col min="8957" max="9205" width="8.83203125" style="215"/>
    <col min="9206" max="9206" width="4.5" style="215" customWidth="1"/>
    <col min="9207" max="9207" width="39.5" style="215" customWidth="1"/>
    <col min="9208" max="9211" width="12.33203125" style="215" customWidth="1"/>
    <col min="9212" max="9212" width="7.83203125" style="215" customWidth="1"/>
    <col min="9213" max="9461" width="8.83203125" style="215"/>
    <col min="9462" max="9462" width="4.5" style="215" customWidth="1"/>
    <col min="9463" max="9463" width="39.5" style="215" customWidth="1"/>
    <col min="9464" max="9467" width="12.33203125" style="215" customWidth="1"/>
    <col min="9468" max="9468" width="7.83203125" style="215" customWidth="1"/>
    <col min="9469" max="9717" width="8.83203125" style="215"/>
    <col min="9718" max="9718" width="4.5" style="215" customWidth="1"/>
    <col min="9719" max="9719" width="39.5" style="215" customWidth="1"/>
    <col min="9720" max="9723" width="12.33203125" style="215" customWidth="1"/>
    <col min="9724" max="9724" width="7.83203125" style="215" customWidth="1"/>
    <col min="9725" max="9973" width="8.83203125" style="215"/>
    <col min="9974" max="9974" width="4.5" style="215" customWidth="1"/>
    <col min="9975" max="9975" width="39.5" style="215" customWidth="1"/>
    <col min="9976" max="9979" width="12.33203125" style="215" customWidth="1"/>
    <col min="9980" max="9980" width="7.83203125" style="215" customWidth="1"/>
    <col min="9981" max="10229" width="8.83203125" style="215"/>
    <col min="10230" max="10230" width="4.5" style="215" customWidth="1"/>
    <col min="10231" max="10231" width="39.5" style="215" customWidth="1"/>
    <col min="10232" max="10235" width="12.33203125" style="215" customWidth="1"/>
    <col min="10236" max="10236" width="7.83203125" style="215" customWidth="1"/>
    <col min="10237" max="10485" width="8.83203125" style="215"/>
    <col min="10486" max="10486" width="4.5" style="215" customWidth="1"/>
    <col min="10487" max="10487" width="39.5" style="215" customWidth="1"/>
    <col min="10488" max="10491" width="12.33203125" style="215" customWidth="1"/>
    <col min="10492" max="10492" width="7.83203125" style="215" customWidth="1"/>
    <col min="10493" max="10741" width="8.83203125" style="215"/>
    <col min="10742" max="10742" width="4.5" style="215" customWidth="1"/>
    <col min="10743" max="10743" width="39.5" style="215" customWidth="1"/>
    <col min="10744" max="10747" width="12.33203125" style="215" customWidth="1"/>
    <col min="10748" max="10748" width="7.83203125" style="215" customWidth="1"/>
    <col min="10749" max="10997" width="8.83203125" style="215"/>
    <col min="10998" max="10998" width="4.5" style="215" customWidth="1"/>
    <col min="10999" max="10999" width="39.5" style="215" customWidth="1"/>
    <col min="11000" max="11003" width="12.33203125" style="215" customWidth="1"/>
    <col min="11004" max="11004" width="7.83203125" style="215" customWidth="1"/>
    <col min="11005" max="11253" width="8.83203125" style="215"/>
    <col min="11254" max="11254" width="4.5" style="215" customWidth="1"/>
    <col min="11255" max="11255" width="39.5" style="215" customWidth="1"/>
    <col min="11256" max="11259" width="12.33203125" style="215" customWidth="1"/>
    <col min="11260" max="11260" width="7.83203125" style="215" customWidth="1"/>
    <col min="11261" max="11509" width="8.83203125" style="215"/>
    <col min="11510" max="11510" width="4.5" style="215" customWidth="1"/>
    <col min="11511" max="11511" width="39.5" style="215" customWidth="1"/>
    <col min="11512" max="11515" width="12.33203125" style="215" customWidth="1"/>
    <col min="11516" max="11516" width="7.83203125" style="215" customWidth="1"/>
    <col min="11517" max="11765" width="8.83203125" style="215"/>
    <col min="11766" max="11766" width="4.5" style="215" customWidth="1"/>
    <col min="11767" max="11767" width="39.5" style="215" customWidth="1"/>
    <col min="11768" max="11771" width="12.33203125" style="215" customWidth="1"/>
    <col min="11772" max="11772" width="7.83203125" style="215" customWidth="1"/>
    <col min="11773" max="12021" width="8.83203125" style="215"/>
    <col min="12022" max="12022" width="4.5" style="215" customWidth="1"/>
    <col min="12023" max="12023" width="39.5" style="215" customWidth="1"/>
    <col min="12024" max="12027" width="12.33203125" style="215" customWidth="1"/>
    <col min="12028" max="12028" width="7.83203125" style="215" customWidth="1"/>
    <col min="12029" max="12277" width="8.83203125" style="215"/>
    <col min="12278" max="12278" width="4.5" style="215" customWidth="1"/>
    <col min="12279" max="12279" width="39.5" style="215" customWidth="1"/>
    <col min="12280" max="12283" width="12.33203125" style="215" customWidth="1"/>
    <col min="12284" max="12284" width="7.83203125" style="215" customWidth="1"/>
    <col min="12285" max="12533" width="8.83203125" style="215"/>
    <col min="12534" max="12534" width="4.5" style="215" customWidth="1"/>
    <col min="12535" max="12535" width="39.5" style="215" customWidth="1"/>
    <col min="12536" max="12539" width="12.33203125" style="215" customWidth="1"/>
    <col min="12540" max="12540" width="7.83203125" style="215" customWidth="1"/>
    <col min="12541" max="12789" width="8.83203125" style="215"/>
    <col min="12790" max="12790" width="4.5" style="215" customWidth="1"/>
    <col min="12791" max="12791" width="39.5" style="215" customWidth="1"/>
    <col min="12792" max="12795" width="12.33203125" style="215" customWidth="1"/>
    <col min="12796" max="12796" width="7.83203125" style="215" customWidth="1"/>
    <col min="12797" max="13045" width="8.83203125" style="215"/>
    <col min="13046" max="13046" width="4.5" style="215" customWidth="1"/>
    <col min="13047" max="13047" width="39.5" style="215" customWidth="1"/>
    <col min="13048" max="13051" width="12.33203125" style="215" customWidth="1"/>
    <col min="13052" max="13052" width="7.83203125" style="215" customWidth="1"/>
    <col min="13053" max="13301" width="8.83203125" style="215"/>
    <col min="13302" max="13302" width="4.5" style="215" customWidth="1"/>
    <col min="13303" max="13303" width="39.5" style="215" customWidth="1"/>
    <col min="13304" max="13307" width="12.33203125" style="215" customWidth="1"/>
    <col min="13308" max="13308" width="7.83203125" style="215" customWidth="1"/>
    <col min="13309" max="13557" width="8.83203125" style="215"/>
    <col min="13558" max="13558" width="4.5" style="215" customWidth="1"/>
    <col min="13559" max="13559" width="39.5" style="215" customWidth="1"/>
    <col min="13560" max="13563" width="12.33203125" style="215" customWidth="1"/>
    <col min="13564" max="13564" width="7.83203125" style="215" customWidth="1"/>
    <col min="13565" max="13813" width="8.83203125" style="215"/>
    <col min="13814" max="13814" width="4.5" style="215" customWidth="1"/>
    <col min="13815" max="13815" width="39.5" style="215" customWidth="1"/>
    <col min="13816" max="13819" width="12.33203125" style="215" customWidth="1"/>
    <col min="13820" max="13820" width="7.83203125" style="215" customWidth="1"/>
    <col min="13821" max="14069" width="8.83203125" style="215"/>
    <col min="14070" max="14070" width="4.5" style="215" customWidth="1"/>
    <col min="14071" max="14071" width="39.5" style="215" customWidth="1"/>
    <col min="14072" max="14075" width="12.33203125" style="215" customWidth="1"/>
    <col min="14076" max="14076" width="7.83203125" style="215" customWidth="1"/>
    <col min="14077" max="14325" width="8.83203125" style="215"/>
    <col min="14326" max="14326" width="4.5" style="215" customWidth="1"/>
    <col min="14327" max="14327" width="39.5" style="215" customWidth="1"/>
    <col min="14328" max="14331" width="12.33203125" style="215" customWidth="1"/>
    <col min="14332" max="14332" width="7.83203125" style="215" customWidth="1"/>
    <col min="14333" max="14581" width="8.83203125" style="215"/>
    <col min="14582" max="14582" width="4.5" style="215" customWidth="1"/>
    <col min="14583" max="14583" width="39.5" style="215" customWidth="1"/>
    <col min="14584" max="14587" width="12.33203125" style="215" customWidth="1"/>
    <col min="14588" max="14588" width="7.83203125" style="215" customWidth="1"/>
    <col min="14589" max="14837" width="8.83203125" style="215"/>
    <col min="14838" max="14838" width="4.5" style="215" customWidth="1"/>
    <col min="14839" max="14839" width="39.5" style="215" customWidth="1"/>
    <col min="14840" max="14843" width="12.33203125" style="215" customWidth="1"/>
    <col min="14844" max="14844" width="7.83203125" style="215" customWidth="1"/>
    <col min="14845" max="15093" width="8.83203125" style="215"/>
    <col min="15094" max="15094" width="4.5" style="215" customWidth="1"/>
    <col min="15095" max="15095" width="39.5" style="215" customWidth="1"/>
    <col min="15096" max="15099" width="12.33203125" style="215" customWidth="1"/>
    <col min="15100" max="15100" width="7.83203125" style="215" customWidth="1"/>
    <col min="15101" max="15349" width="8.83203125" style="215"/>
    <col min="15350" max="15350" width="4.5" style="215" customWidth="1"/>
    <col min="15351" max="15351" width="39.5" style="215" customWidth="1"/>
    <col min="15352" max="15355" width="12.33203125" style="215" customWidth="1"/>
    <col min="15356" max="15356" width="7.83203125" style="215" customWidth="1"/>
    <col min="15357" max="15605" width="8.83203125" style="215"/>
    <col min="15606" max="15606" width="4.5" style="215" customWidth="1"/>
    <col min="15607" max="15607" width="39.5" style="215" customWidth="1"/>
    <col min="15608" max="15611" width="12.33203125" style="215" customWidth="1"/>
    <col min="15612" max="15612" width="7.83203125" style="215" customWidth="1"/>
    <col min="15613" max="15861" width="8.83203125" style="215"/>
    <col min="15862" max="15862" width="4.5" style="215" customWidth="1"/>
    <col min="15863" max="15863" width="39.5" style="215" customWidth="1"/>
    <col min="15864" max="15867" width="12.33203125" style="215" customWidth="1"/>
    <col min="15868" max="15868" width="7.83203125" style="215" customWidth="1"/>
    <col min="15869" max="16117" width="8.83203125" style="215"/>
    <col min="16118" max="16118" width="4.5" style="215" customWidth="1"/>
    <col min="16119" max="16119" width="39.5" style="215" customWidth="1"/>
    <col min="16120" max="16123" width="12.33203125" style="215" customWidth="1"/>
    <col min="16124" max="16124" width="7.83203125" style="215" customWidth="1"/>
    <col min="16125" max="16384" width="8.83203125" style="215"/>
  </cols>
  <sheetData>
    <row r="1" spans="1:7" ht="34" x14ac:dyDescent="0.2">
      <c r="A1" s="240" t="s">
        <v>235</v>
      </c>
      <c r="B1" s="214"/>
      <c r="D1" s="258" t="s">
        <v>0</v>
      </c>
      <c r="E1" s="258"/>
      <c r="F1" s="258"/>
      <c r="G1" s="258"/>
    </row>
    <row r="2" spans="1:7" x14ac:dyDescent="0.2">
      <c r="A2" s="217" t="s">
        <v>4</v>
      </c>
      <c r="B2" s="216"/>
      <c r="D2" s="259" t="s">
        <v>243</v>
      </c>
      <c r="E2" s="259"/>
      <c r="F2" s="259"/>
      <c r="G2" s="259"/>
    </row>
    <row r="3" spans="1:7" ht="32.25" customHeight="1" x14ac:dyDescent="0.2">
      <c r="A3" s="260" t="s">
        <v>244</v>
      </c>
      <c r="B3" s="260"/>
      <c r="C3" s="260"/>
      <c r="D3" s="260"/>
      <c r="E3" s="260"/>
      <c r="F3" s="260"/>
      <c r="G3" s="260"/>
    </row>
    <row r="4" spans="1:7" s="220" customFormat="1" x14ac:dyDescent="0.2">
      <c r="A4" s="218"/>
      <c r="B4" s="219"/>
      <c r="C4" s="218"/>
      <c r="D4" s="218"/>
      <c r="E4" s="218"/>
      <c r="F4" s="261" t="s">
        <v>245</v>
      </c>
      <c r="G4" s="261"/>
    </row>
    <row r="5" spans="1:7" s="221" customFormat="1" ht="22.5" customHeight="1" x14ac:dyDescent="0.15">
      <c r="A5" s="262" t="s">
        <v>88</v>
      </c>
      <c r="B5" s="265" t="s">
        <v>262</v>
      </c>
      <c r="C5" s="268" t="s">
        <v>246</v>
      </c>
      <c r="D5" s="269"/>
      <c r="E5" s="269"/>
      <c r="F5" s="270"/>
      <c r="G5" s="265" t="s">
        <v>247</v>
      </c>
    </row>
    <row r="6" spans="1:7" s="221" customFormat="1" ht="25.5" customHeight="1" x14ac:dyDescent="0.15">
      <c r="A6" s="263"/>
      <c r="B6" s="266"/>
      <c r="C6" s="272" t="s">
        <v>248</v>
      </c>
      <c r="D6" s="272" t="s">
        <v>249</v>
      </c>
      <c r="E6" s="274" t="s">
        <v>250</v>
      </c>
      <c r="F6" s="275"/>
      <c r="G6" s="266"/>
    </row>
    <row r="7" spans="1:7" s="224" customFormat="1" ht="25.5" customHeight="1" x14ac:dyDescent="0.15">
      <c r="A7" s="264"/>
      <c r="B7" s="267"/>
      <c r="C7" s="273"/>
      <c r="D7" s="273"/>
      <c r="E7" s="222" t="s">
        <v>23</v>
      </c>
      <c r="F7" s="223" t="s">
        <v>251</v>
      </c>
      <c r="G7" s="267"/>
    </row>
    <row r="8" spans="1:7" s="226" customFormat="1" ht="13" x14ac:dyDescent="0.15">
      <c r="A8" s="225">
        <v>1</v>
      </c>
      <c r="B8" s="225">
        <v>7</v>
      </c>
      <c r="C8" s="225">
        <v>8</v>
      </c>
      <c r="D8" s="225">
        <v>9</v>
      </c>
      <c r="E8" s="225">
        <v>10</v>
      </c>
      <c r="F8" s="225">
        <v>11</v>
      </c>
      <c r="G8" s="225">
        <v>12</v>
      </c>
    </row>
    <row r="9" spans="1:7" s="229" customFormat="1" ht="25.25" customHeight="1" x14ac:dyDescent="0.2">
      <c r="A9" s="227" t="s">
        <v>252</v>
      </c>
      <c r="B9" s="228"/>
      <c r="C9" s="228"/>
      <c r="D9" s="228"/>
      <c r="E9" s="228"/>
      <c r="F9" s="228"/>
      <c r="G9" s="228"/>
    </row>
    <row r="10" spans="1:7" s="229" customFormat="1" ht="25.25" customHeight="1" x14ac:dyDescent="0.2">
      <c r="A10" s="227" t="s">
        <v>253</v>
      </c>
      <c r="B10" s="228"/>
      <c r="C10" s="228"/>
      <c r="D10" s="228"/>
      <c r="E10" s="228"/>
      <c r="F10" s="228"/>
      <c r="G10" s="228"/>
    </row>
    <row r="11" spans="1:7" s="231" customFormat="1" ht="20" customHeight="1" x14ac:dyDescent="0.2">
      <c r="A11" s="230" t="s">
        <v>254</v>
      </c>
      <c r="B11" s="91"/>
      <c r="C11" s="91"/>
      <c r="D11" s="91"/>
      <c r="E11" s="91"/>
      <c r="F11" s="91"/>
      <c r="G11" s="91"/>
    </row>
    <row r="12" spans="1:7" s="231" customFormat="1" ht="20" customHeight="1" x14ac:dyDescent="0.2">
      <c r="A12" s="230" t="s">
        <v>255</v>
      </c>
      <c r="B12" s="91"/>
      <c r="C12" s="91"/>
      <c r="D12" s="91"/>
      <c r="E12" s="91"/>
      <c r="F12" s="91"/>
      <c r="G12" s="91"/>
    </row>
    <row r="13" spans="1:7" s="232" customFormat="1" ht="20" customHeight="1" x14ac:dyDescent="0.2">
      <c r="A13" s="230" t="s">
        <v>256</v>
      </c>
      <c r="B13" s="91"/>
      <c r="C13" s="91"/>
      <c r="D13" s="91"/>
      <c r="E13" s="91"/>
      <c r="F13" s="91"/>
      <c r="G13" s="91"/>
    </row>
    <row r="14" spans="1:7" s="231" customFormat="1" ht="20" customHeight="1" x14ac:dyDescent="0.2">
      <c r="A14" s="233" t="s">
        <v>27</v>
      </c>
      <c r="B14" s="92"/>
      <c r="C14" s="92"/>
      <c r="D14" s="92"/>
      <c r="E14" s="92"/>
      <c r="F14" s="92"/>
      <c r="G14" s="92"/>
    </row>
    <row r="15" spans="1:7" s="231" customFormat="1" ht="20" customHeight="1" x14ac:dyDescent="0.2">
      <c r="A15" s="233" t="s">
        <v>28</v>
      </c>
      <c r="B15" s="92"/>
      <c r="C15" s="92"/>
      <c r="D15" s="92"/>
      <c r="E15" s="92"/>
      <c r="F15" s="92"/>
      <c r="G15" s="92"/>
    </row>
    <row r="16" spans="1:7" s="232" customFormat="1" ht="20" customHeight="1" x14ac:dyDescent="0.2">
      <c r="A16" s="230" t="s">
        <v>257</v>
      </c>
      <c r="B16" s="91"/>
      <c r="C16" s="91"/>
      <c r="D16" s="91"/>
      <c r="E16" s="91"/>
      <c r="F16" s="91"/>
      <c r="G16" s="91"/>
    </row>
    <row r="17" spans="1:7" s="232" customFormat="1" ht="20" customHeight="1" x14ac:dyDescent="0.2">
      <c r="A17" s="230" t="s">
        <v>258</v>
      </c>
      <c r="B17" s="91"/>
      <c r="C17" s="91"/>
      <c r="D17" s="91"/>
      <c r="E17" s="91"/>
      <c r="F17" s="91"/>
      <c r="G17" s="91"/>
    </row>
    <row r="18" spans="1:7" s="232" customFormat="1" ht="20" customHeight="1" x14ac:dyDescent="0.2">
      <c r="A18" s="230" t="s">
        <v>259</v>
      </c>
      <c r="B18" s="91"/>
      <c r="C18" s="91"/>
      <c r="D18" s="91"/>
      <c r="E18" s="91"/>
      <c r="F18" s="91"/>
      <c r="G18" s="91"/>
    </row>
    <row r="19" spans="1:7" s="232" customFormat="1" ht="20" customHeight="1" x14ac:dyDescent="0.2">
      <c r="A19" s="233" t="s">
        <v>29</v>
      </c>
      <c r="B19" s="91"/>
      <c r="C19" s="91"/>
      <c r="D19" s="91"/>
      <c r="E19" s="91"/>
      <c r="F19" s="91"/>
      <c r="G19" s="91"/>
    </row>
    <row r="20" spans="1:7" s="232" customFormat="1" ht="20" customHeight="1" x14ac:dyDescent="0.2">
      <c r="A20" s="233" t="s">
        <v>30</v>
      </c>
      <c r="B20" s="92"/>
      <c r="C20" s="92"/>
      <c r="D20" s="92"/>
      <c r="E20" s="92"/>
      <c r="F20" s="92"/>
      <c r="G20" s="92"/>
    </row>
    <row r="21" spans="1:7" s="232" customFormat="1" ht="20" customHeight="1" x14ac:dyDescent="0.2">
      <c r="A21" s="233" t="s">
        <v>31</v>
      </c>
      <c r="B21" s="91"/>
      <c r="C21" s="91"/>
      <c r="D21" s="91"/>
      <c r="E21" s="91"/>
      <c r="F21" s="91"/>
      <c r="G21" s="91"/>
    </row>
    <row r="22" spans="1:7" s="232" customFormat="1" ht="20" customHeight="1" x14ac:dyDescent="0.2">
      <c r="A22" s="230" t="s">
        <v>260</v>
      </c>
      <c r="B22" s="91"/>
      <c r="C22" s="91"/>
      <c r="D22" s="91"/>
      <c r="E22" s="91"/>
      <c r="F22" s="91"/>
      <c r="G22" s="91"/>
    </row>
    <row r="23" spans="1:7" s="232" customFormat="1" ht="28.5" customHeight="1" x14ac:dyDescent="0.2">
      <c r="A23" s="234" t="s">
        <v>261</v>
      </c>
      <c r="B23" s="91"/>
      <c r="C23" s="91"/>
      <c r="D23" s="91"/>
      <c r="E23" s="91"/>
      <c r="F23" s="91"/>
      <c r="G23" s="91"/>
    </row>
    <row r="24" spans="1:7" s="235" customFormat="1" ht="14" x14ac:dyDescent="0.2">
      <c r="A24" s="271"/>
      <c r="B24" s="271"/>
      <c r="C24" s="271"/>
      <c r="D24" s="271"/>
      <c r="E24" s="271"/>
      <c r="F24" s="271"/>
      <c r="G24" s="271"/>
    </row>
    <row r="25" spans="1:7" s="62" customFormat="1" ht="23.25" customHeight="1" x14ac:dyDescent="0.2">
      <c r="A25" s="209" t="s">
        <v>8</v>
      </c>
      <c r="B25" s="250"/>
      <c r="C25" s="250"/>
      <c r="D25" s="250"/>
      <c r="E25" s="250"/>
      <c r="F25" s="250"/>
      <c r="G25" s="250"/>
    </row>
    <row r="26" spans="1:7" s="62" customFormat="1" ht="27.75" customHeight="1" x14ac:dyDescent="0.2">
      <c r="A26" s="208" t="s">
        <v>33</v>
      </c>
      <c r="B26" s="64"/>
      <c r="D26" s="64" t="s">
        <v>34</v>
      </c>
      <c r="E26" s="64"/>
      <c r="F26" s="64"/>
      <c r="G26" s="64"/>
    </row>
    <row r="27" spans="1:7" s="238" customFormat="1" ht="14" x14ac:dyDescent="0.15">
      <c r="A27" s="236"/>
      <c r="B27" s="237"/>
      <c r="C27" s="237"/>
      <c r="D27" s="237"/>
      <c r="E27" s="237"/>
      <c r="F27" s="237"/>
      <c r="G27" s="237"/>
    </row>
    <row r="28" spans="1:7" s="238" customFormat="1" ht="14" x14ac:dyDescent="0.15">
      <c r="A28" s="236"/>
      <c r="B28" s="237"/>
      <c r="C28" s="237"/>
      <c r="D28" s="237"/>
      <c r="E28" s="237"/>
      <c r="F28" s="237"/>
      <c r="G28" s="237"/>
    </row>
    <row r="29" spans="1:7" s="238" customFormat="1" ht="14" x14ac:dyDescent="0.15">
      <c r="A29" s="236"/>
      <c r="B29" s="237"/>
      <c r="C29" s="237"/>
      <c r="D29" s="237"/>
      <c r="E29" s="237"/>
      <c r="F29" s="237"/>
      <c r="G29" s="237"/>
    </row>
    <row r="30" spans="1:7" s="238" customFormat="1" ht="14" x14ac:dyDescent="0.15">
      <c r="A30" s="236"/>
      <c r="B30" s="237"/>
      <c r="C30" s="237"/>
      <c r="D30" s="237"/>
      <c r="E30" s="237"/>
      <c r="F30" s="237"/>
      <c r="G30" s="237"/>
    </row>
    <row r="31" spans="1:7" s="238" customFormat="1" ht="14" x14ac:dyDescent="0.15">
      <c r="A31" s="236"/>
      <c r="B31" s="237"/>
      <c r="C31" s="237"/>
      <c r="D31" s="237"/>
      <c r="E31" s="237"/>
      <c r="F31" s="237"/>
      <c r="G31" s="237"/>
    </row>
    <row r="32" spans="1:7" s="238" customFormat="1" ht="14" x14ac:dyDescent="0.15">
      <c r="A32" s="236"/>
      <c r="B32" s="237"/>
      <c r="C32" s="237"/>
      <c r="D32" s="237"/>
      <c r="E32" s="237"/>
      <c r="F32" s="237"/>
      <c r="G32" s="237"/>
    </row>
    <row r="33" spans="1:7" s="238" customFormat="1" ht="14" x14ac:dyDescent="0.15">
      <c r="A33" s="236"/>
      <c r="B33" s="237"/>
      <c r="C33" s="237"/>
      <c r="D33" s="237"/>
      <c r="E33" s="237"/>
      <c r="F33" s="237"/>
      <c r="G33" s="237"/>
    </row>
    <row r="34" spans="1:7" s="238" customFormat="1" ht="14" x14ac:dyDescent="0.15">
      <c r="A34" s="236"/>
      <c r="B34" s="237"/>
      <c r="C34" s="237"/>
      <c r="D34" s="237"/>
      <c r="E34" s="237"/>
      <c r="F34" s="237"/>
      <c r="G34" s="237"/>
    </row>
    <row r="35" spans="1:7" s="238" customFormat="1" ht="14" x14ac:dyDescent="0.15">
      <c r="A35" s="236"/>
      <c r="B35" s="237"/>
      <c r="C35" s="237"/>
      <c r="D35" s="237"/>
      <c r="E35" s="237"/>
      <c r="F35" s="237"/>
      <c r="G35" s="237"/>
    </row>
    <row r="36" spans="1:7" s="238" customFormat="1" ht="14" x14ac:dyDescent="0.15">
      <c r="A36" s="236"/>
      <c r="B36" s="237"/>
      <c r="C36" s="237"/>
      <c r="D36" s="237"/>
      <c r="E36" s="237"/>
      <c r="F36" s="237"/>
      <c r="G36" s="237"/>
    </row>
    <row r="37" spans="1:7" s="238" customFormat="1" ht="14" x14ac:dyDescent="0.15">
      <c r="A37" s="236"/>
      <c r="B37" s="237"/>
      <c r="C37" s="237"/>
      <c r="D37" s="237"/>
      <c r="E37" s="237"/>
      <c r="F37" s="237"/>
      <c r="G37" s="237"/>
    </row>
    <row r="38" spans="1:7" s="238" customFormat="1" ht="14" x14ac:dyDescent="0.15">
      <c r="A38" s="236"/>
      <c r="B38" s="237"/>
      <c r="C38" s="237"/>
      <c r="D38" s="237"/>
      <c r="E38" s="237"/>
      <c r="F38" s="237"/>
      <c r="G38" s="237"/>
    </row>
    <row r="39" spans="1:7" s="238" customFormat="1" ht="14" x14ac:dyDescent="0.15">
      <c r="A39" s="236"/>
      <c r="B39" s="237"/>
      <c r="C39" s="237"/>
      <c r="D39" s="237"/>
      <c r="E39" s="237"/>
      <c r="F39" s="237"/>
      <c r="G39" s="237"/>
    </row>
    <row r="40" spans="1:7" s="238" customFormat="1" ht="14" x14ac:dyDescent="0.15">
      <c r="A40" s="236"/>
      <c r="B40" s="237"/>
      <c r="C40" s="237"/>
      <c r="D40" s="237"/>
      <c r="E40" s="237"/>
      <c r="F40" s="237"/>
      <c r="G40" s="237"/>
    </row>
    <row r="41" spans="1:7" s="238" customFormat="1" ht="14" x14ac:dyDescent="0.15">
      <c r="A41" s="236"/>
      <c r="B41" s="237"/>
      <c r="C41" s="237"/>
      <c r="D41" s="237"/>
      <c r="E41" s="237"/>
      <c r="F41" s="237"/>
      <c r="G41" s="237"/>
    </row>
    <row r="42" spans="1:7" s="238" customFormat="1" ht="14" x14ac:dyDescent="0.15">
      <c r="A42" s="236"/>
      <c r="B42" s="237"/>
      <c r="C42" s="237"/>
      <c r="D42" s="237"/>
      <c r="E42" s="237"/>
      <c r="F42" s="237"/>
      <c r="G42" s="237"/>
    </row>
    <row r="43" spans="1:7" s="238" customFormat="1" ht="14" x14ac:dyDescent="0.15">
      <c r="A43" s="236"/>
      <c r="B43" s="237"/>
      <c r="C43" s="237"/>
      <c r="D43" s="237"/>
      <c r="E43" s="237"/>
      <c r="F43" s="237"/>
      <c r="G43" s="237"/>
    </row>
    <row r="44" spans="1:7" s="238" customFormat="1" ht="14" x14ac:dyDescent="0.15">
      <c r="A44" s="236"/>
      <c r="B44" s="237"/>
      <c r="C44" s="237"/>
      <c r="D44" s="237"/>
      <c r="E44" s="237"/>
      <c r="F44" s="237"/>
      <c r="G44" s="237"/>
    </row>
    <row r="45" spans="1:7" s="238" customFormat="1" ht="14" x14ac:dyDescent="0.15">
      <c r="A45" s="236"/>
      <c r="B45" s="237"/>
      <c r="C45" s="237"/>
      <c r="D45" s="237"/>
      <c r="E45" s="237"/>
      <c r="F45" s="237"/>
      <c r="G45" s="237"/>
    </row>
    <row r="46" spans="1:7" s="238" customFormat="1" ht="14" x14ac:dyDescent="0.15">
      <c r="A46" s="236"/>
      <c r="B46" s="237"/>
      <c r="C46" s="237"/>
      <c r="D46" s="237"/>
      <c r="E46" s="237"/>
      <c r="F46" s="237"/>
      <c r="G46" s="237"/>
    </row>
    <row r="47" spans="1:7" s="238" customFormat="1" ht="14" x14ac:dyDescent="0.15">
      <c r="A47" s="236"/>
      <c r="B47" s="237"/>
      <c r="C47" s="237"/>
      <c r="D47" s="237"/>
      <c r="E47" s="237"/>
      <c r="F47" s="237"/>
      <c r="G47" s="237"/>
    </row>
    <row r="48" spans="1:7" s="238" customFormat="1" ht="14" x14ac:dyDescent="0.15">
      <c r="A48" s="236"/>
      <c r="B48" s="237"/>
      <c r="C48" s="237"/>
      <c r="D48" s="237"/>
      <c r="E48" s="237"/>
      <c r="F48" s="237"/>
      <c r="G48" s="237"/>
    </row>
    <row r="49" spans="1:7" s="238" customFormat="1" ht="14" x14ac:dyDescent="0.15">
      <c r="A49" s="236"/>
      <c r="B49" s="237"/>
      <c r="C49" s="237"/>
      <c r="D49" s="237"/>
      <c r="E49" s="237"/>
      <c r="F49" s="237"/>
      <c r="G49" s="237"/>
    </row>
    <row r="50" spans="1:7" s="238" customFormat="1" ht="14" x14ac:dyDescent="0.15">
      <c r="A50" s="236"/>
      <c r="B50" s="237"/>
      <c r="C50" s="237"/>
      <c r="D50" s="237"/>
      <c r="E50" s="237"/>
      <c r="F50" s="237"/>
      <c r="G50" s="237"/>
    </row>
    <row r="51" spans="1:7" s="238" customFormat="1" x14ac:dyDescent="0.2">
      <c r="A51" s="236"/>
      <c r="B51" s="215"/>
      <c r="C51" s="215"/>
      <c r="D51" s="215"/>
      <c r="E51" s="215"/>
      <c r="F51" s="215"/>
      <c r="G51" s="215"/>
    </row>
    <row r="52" spans="1:7" s="238" customFormat="1" x14ac:dyDescent="0.2">
      <c r="A52" s="236"/>
      <c r="B52" s="215"/>
      <c r="C52" s="215"/>
      <c r="D52" s="215"/>
      <c r="E52" s="215"/>
      <c r="F52" s="215"/>
      <c r="G52" s="215"/>
    </row>
    <row r="53" spans="1:7" s="238" customFormat="1" x14ac:dyDescent="0.2">
      <c r="A53" s="236"/>
      <c r="B53" s="215"/>
      <c r="C53" s="215"/>
      <c r="D53" s="215"/>
      <c r="E53" s="215"/>
      <c r="F53" s="215"/>
      <c r="G53" s="215"/>
    </row>
    <row r="54" spans="1:7" s="238" customFormat="1" x14ac:dyDescent="0.2">
      <c r="A54" s="236"/>
      <c r="B54" s="215"/>
      <c r="C54" s="215"/>
      <c r="D54" s="215"/>
      <c r="E54" s="215"/>
      <c r="F54" s="215"/>
      <c r="G54" s="215"/>
    </row>
    <row r="55" spans="1:7" s="238" customFormat="1" x14ac:dyDescent="0.2">
      <c r="A55" s="236"/>
      <c r="B55" s="215"/>
      <c r="C55" s="215"/>
      <c r="D55" s="215"/>
      <c r="E55" s="215"/>
      <c r="F55" s="215"/>
      <c r="G55" s="215"/>
    </row>
    <row r="56" spans="1:7" s="238" customFormat="1" x14ac:dyDescent="0.2">
      <c r="A56" s="236"/>
      <c r="B56" s="215"/>
      <c r="C56" s="215"/>
      <c r="D56" s="215"/>
      <c r="E56" s="215"/>
      <c r="F56" s="215"/>
      <c r="G56" s="215"/>
    </row>
    <row r="57" spans="1:7" s="238" customFormat="1" x14ac:dyDescent="0.2">
      <c r="A57" s="236"/>
      <c r="B57" s="215"/>
      <c r="C57" s="215"/>
      <c r="D57" s="215"/>
      <c r="E57" s="215"/>
      <c r="F57" s="215"/>
      <c r="G57" s="215"/>
    </row>
    <row r="58" spans="1:7" s="238" customFormat="1" x14ac:dyDescent="0.2">
      <c r="A58" s="236"/>
      <c r="B58" s="215"/>
      <c r="C58" s="215"/>
      <c r="D58" s="215"/>
      <c r="E58" s="215"/>
      <c r="F58" s="215"/>
      <c r="G58" s="215"/>
    </row>
    <row r="59" spans="1:7" s="238" customFormat="1" x14ac:dyDescent="0.2">
      <c r="A59" s="236"/>
      <c r="B59" s="215"/>
      <c r="C59" s="215"/>
      <c r="D59" s="215"/>
      <c r="E59" s="215"/>
      <c r="F59" s="215"/>
      <c r="G59" s="215"/>
    </row>
    <row r="60" spans="1:7" s="238" customFormat="1" x14ac:dyDescent="0.2">
      <c r="A60" s="236"/>
      <c r="B60" s="215"/>
      <c r="C60" s="215"/>
      <c r="D60" s="215"/>
      <c r="E60" s="215"/>
      <c r="F60" s="215"/>
      <c r="G60" s="215"/>
    </row>
    <row r="61" spans="1:7" s="238" customFormat="1" x14ac:dyDescent="0.2">
      <c r="A61" s="236"/>
      <c r="B61" s="215"/>
      <c r="C61" s="215"/>
      <c r="D61" s="215"/>
      <c r="E61" s="215"/>
      <c r="F61" s="215"/>
      <c r="G61" s="215"/>
    </row>
    <row r="62" spans="1:7" s="238" customFormat="1" x14ac:dyDescent="0.2">
      <c r="A62" s="236"/>
      <c r="B62" s="215"/>
      <c r="C62" s="215"/>
      <c r="D62" s="215"/>
      <c r="E62" s="215"/>
      <c r="F62" s="215"/>
      <c r="G62" s="215"/>
    </row>
    <row r="63" spans="1:7" s="238" customFormat="1" x14ac:dyDescent="0.2">
      <c r="A63" s="236"/>
      <c r="B63" s="215"/>
      <c r="C63" s="215"/>
      <c r="D63" s="215"/>
      <c r="E63" s="215"/>
      <c r="F63" s="215"/>
      <c r="G63" s="215"/>
    </row>
    <row r="64" spans="1:7" s="238" customFormat="1" x14ac:dyDescent="0.2">
      <c r="A64" s="236"/>
      <c r="B64" s="215"/>
      <c r="C64" s="215"/>
      <c r="D64" s="215"/>
      <c r="E64" s="215"/>
      <c r="F64" s="215"/>
      <c r="G64" s="215"/>
    </row>
    <row r="65" spans="1:7" s="238" customFormat="1" x14ac:dyDescent="0.2">
      <c r="A65" s="236"/>
      <c r="B65" s="215"/>
      <c r="C65" s="215"/>
      <c r="D65" s="215"/>
      <c r="E65" s="215"/>
      <c r="F65" s="215"/>
      <c r="G65" s="215"/>
    </row>
    <row r="66" spans="1:7" s="238" customFormat="1" x14ac:dyDescent="0.2">
      <c r="A66" s="236"/>
      <c r="B66" s="215"/>
      <c r="C66" s="215"/>
      <c r="D66" s="215"/>
      <c r="E66" s="215"/>
      <c r="F66" s="215"/>
      <c r="G66" s="215"/>
    </row>
    <row r="67" spans="1:7" s="238" customFormat="1" x14ac:dyDescent="0.2">
      <c r="A67" s="236"/>
      <c r="B67" s="215"/>
      <c r="C67" s="215"/>
      <c r="D67" s="215"/>
      <c r="E67" s="215"/>
      <c r="F67" s="215"/>
      <c r="G67" s="215"/>
    </row>
    <row r="68" spans="1:7" s="238" customFormat="1" x14ac:dyDescent="0.2">
      <c r="A68" s="236"/>
      <c r="B68" s="215"/>
      <c r="C68" s="215"/>
      <c r="D68" s="215"/>
      <c r="E68" s="215"/>
      <c r="F68" s="215"/>
      <c r="G68" s="215"/>
    </row>
    <row r="69" spans="1:7" s="238" customFormat="1" x14ac:dyDescent="0.2">
      <c r="A69" s="236"/>
      <c r="B69" s="215"/>
      <c r="C69" s="215"/>
      <c r="D69" s="215"/>
      <c r="E69" s="215"/>
      <c r="F69" s="215"/>
      <c r="G69" s="215"/>
    </row>
    <row r="70" spans="1:7" s="238" customFormat="1" x14ac:dyDescent="0.2">
      <c r="A70" s="236"/>
      <c r="B70" s="215"/>
      <c r="C70" s="215"/>
      <c r="D70" s="215"/>
      <c r="E70" s="215"/>
      <c r="F70" s="215"/>
      <c r="G70" s="215"/>
    </row>
    <row r="71" spans="1:7" s="238" customFormat="1" x14ac:dyDescent="0.2">
      <c r="A71" s="236"/>
      <c r="B71" s="215"/>
      <c r="C71" s="215"/>
      <c r="D71" s="215"/>
      <c r="E71" s="215"/>
      <c r="F71" s="215"/>
      <c r="G71" s="215"/>
    </row>
    <row r="72" spans="1:7" s="238" customFormat="1" x14ac:dyDescent="0.2">
      <c r="A72" s="236"/>
      <c r="B72" s="215"/>
      <c r="C72" s="215"/>
      <c r="D72" s="215"/>
      <c r="E72" s="215"/>
      <c r="F72" s="215"/>
      <c r="G72" s="215"/>
    </row>
    <row r="73" spans="1:7" s="238" customFormat="1" x14ac:dyDescent="0.2">
      <c r="A73" s="236"/>
      <c r="B73" s="215"/>
      <c r="C73" s="215"/>
      <c r="D73" s="215"/>
      <c r="E73" s="215"/>
      <c r="F73" s="215"/>
      <c r="G73" s="215"/>
    </row>
    <row r="74" spans="1:7" s="238" customFormat="1" x14ac:dyDescent="0.2">
      <c r="A74" s="236"/>
      <c r="B74" s="215"/>
      <c r="C74" s="215"/>
      <c r="D74" s="215"/>
      <c r="E74" s="215"/>
      <c r="F74" s="215"/>
      <c r="G74" s="215"/>
    </row>
    <row r="75" spans="1:7" s="238" customFormat="1" x14ac:dyDescent="0.2">
      <c r="A75" s="236"/>
      <c r="B75" s="215"/>
      <c r="C75" s="215"/>
      <c r="D75" s="215"/>
      <c r="E75" s="215"/>
      <c r="F75" s="215"/>
      <c r="G75" s="215"/>
    </row>
    <row r="76" spans="1:7" s="238" customFormat="1" x14ac:dyDescent="0.2">
      <c r="A76" s="236"/>
      <c r="B76" s="215"/>
      <c r="C76" s="215"/>
      <c r="D76" s="215"/>
      <c r="E76" s="215"/>
      <c r="F76" s="215"/>
      <c r="G76" s="215"/>
    </row>
    <row r="77" spans="1:7" s="238" customFormat="1" x14ac:dyDescent="0.2">
      <c r="A77" s="236"/>
      <c r="B77" s="215"/>
      <c r="C77" s="215"/>
      <c r="D77" s="215"/>
      <c r="E77" s="215"/>
      <c r="F77" s="215"/>
      <c r="G77" s="215"/>
    </row>
    <row r="78" spans="1:7" s="238" customFormat="1" x14ac:dyDescent="0.2">
      <c r="A78" s="236"/>
      <c r="B78" s="215"/>
      <c r="C78" s="215"/>
      <c r="D78" s="215"/>
      <c r="E78" s="215"/>
      <c r="F78" s="215"/>
      <c r="G78" s="215"/>
    </row>
    <row r="79" spans="1:7" s="238" customFormat="1" x14ac:dyDescent="0.2">
      <c r="A79" s="236"/>
      <c r="B79" s="215"/>
      <c r="C79" s="215"/>
      <c r="D79" s="215"/>
      <c r="E79" s="215"/>
      <c r="F79" s="215"/>
      <c r="G79" s="215"/>
    </row>
    <row r="80" spans="1:7" s="238" customFormat="1" x14ac:dyDescent="0.2">
      <c r="A80" s="236"/>
      <c r="B80" s="215"/>
      <c r="C80" s="215"/>
      <c r="D80" s="215"/>
      <c r="E80" s="215"/>
      <c r="F80" s="215"/>
      <c r="G80" s="215"/>
    </row>
    <row r="81" spans="1:7" s="238" customFormat="1" x14ac:dyDescent="0.2">
      <c r="A81" s="236"/>
      <c r="B81" s="215"/>
      <c r="C81" s="215"/>
      <c r="D81" s="215"/>
      <c r="E81" s="215"/>
      <c r="F81" s="215"/>
      <c r="G81" s="215"/>
    </row>
    <row r="82" spans="1:7" s="238" customFormat="1" x14ac:dyDescent="0.2">
      <c r="A82" s="236"/>
      <c r="B82" s="215"/>
      <c r="C82" s="215"/>
      <c r="D82" s="215"/>
      <c r="E82" s="215"/>
      <c r="F82" s="215"/>
      <c r="G82" s="215"/>
    </row>
  </sheetData>
  <mergeCells count="13">
    <mergeCell ref="A24:G24"/>
    <mergeCell ref="B25:G25"/>
    <mergeCell ref="C6:C7"/>
    <mergeCell ref="D6:D7"/>
    <mergeCell ref="E6:F6"/>
    <mergeCell ref="D1:G1"/>
    <mergeCell ref="D2:G2"/>
    <mergeCell ref="A3:G3"/>
    <mergeCell ref="F4:G4"/>
    <mergeCell ref="A5:A7"/>
    <mergeCell ref="B5:B7"/>
    <mergeCell ref="C5:F5"/>
    <mergeCell ref="G5:G7"/>
  </mergeCells>
  <dataValidations count="1">
    <dataValidation type="whole" operator="greaterThanOrEqual" allowBlank="1" showInputMessage="1" showErrorMessage="1" errorTitle="Thông báo" error="Chỉ nhập số liệu dạng số" sqref="B13:G23" xr:uid="{7BA75B86-8951-4E4F-8ECE-E81E1E6D1F2A}">
      <formula1>0</formula1>
    </dataValidation>
  </dataValidations>
  <pageMargins left="0.261811024" right="0" top="0" bottom="0" header="6.4960630000000005E-2" footer="0.31496062992126"/>
  <pageSetup paperSize="9" scale="96" fitToHeight="0" orientation="portrait" r:id="rId1"/>
  <headerFooter differentFirs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L75"/>
  <sheetViews>
    <sheetView workbookViewId="0">
      <selection activeCell="M1" sqref="M1:V1048576"/>
    </sheetView>
  </sheetViews>
  <sheetFormatPr baseColWidth="10" defaultColWidth="9.1640625" defaultRowHeight="16" x14ac:dyDescent="0.2"/>
  <cols>
    <col min="1" max="1" width="37.1640625" style="79" customWidth="1"/>
    <col min="2" max="12" width="9" style="79" customWidth="1"/>
    <col min="13" max="16384" width="9.1640625" style="59"/>
  </cols>
  <sheetData>
    <row r="1" spans="1:12" s="171" customFormat="1" ht="36.75" customHeight="1" x14ac:dyDescent="0.2">
      <c r="A1" s="24" t="s">
        <v>235</v>
      </c>
      <c r="B1" s="24"/>
      <c r="C1" s="170"/>
      <c r="D1" s="24"/>
      <c r="E1" s="24"/>
      <c r="F1" s="24"/>
      <c r="G1" s="170"/>
      <c r="H1" s="287" t="s">
        <v>0</v>
      </c>
      <c r="I1" s="287"/>
      <c r="J1" s="287"/>
      <c r="K1" s="287"/>
      <c r="L1" s="287"/>
    </row>
    <row r="2" spans="1:12" s="171" customFormat="1" ht="12.75" customHeight="1" x14ac:dyDescent="0.2">
      <c r="A2" s="173" t="s">
        <v>4</v>
      </c>
      <c r="B2" s="173"/>
      <c r="C2" s="170"/>
      <c r="D2" s="173"/>
      <c r="E2" s="173"/>
      <c r="F2" s="173"/>
      <c r="G2" s="170"/>
      <c r="H2" s="288" t="s">
        <v>239</v>
      </c>
      <c r="I2" s="288"/>
      <c r="J2" s="288"/>
      <c r="K2" s="288"/>
      <c r="L2" s="288"/>
    </row>
    <row r="3" spans="1:12" s="171" customFormat="1" ht="14.25" customHeight="1" x14ac:dyDescent="0.2">
      <c r="A3" s="289" t="s">
        <v>89</v>
      </c>
      <c r="B3" s="289"/>
      <c r="C3" s="289"/>
      <c r="D3" s="289"/>
      <c r="E3" s="289"/>
      <c r="F3" s="289"/>
      <c r="G3" s="289"/>
      <c r="H3" s="289"/>
      <c r="I3" s="289"/>
      <c r="J3" s="289"/>
      <c r="K3" s="289"/>
      <c r="L3" s="289"/>
    </row>
    <row r="4" spans="1:12" s="171" customFormat="1" x14ac:dyDescent="0.2">
      <c r="A4" s="289"/>
      <c r="B4" s="289"/>
      <c r="C4" s="289"/>
      <c r="D4" s="289"/>
      <c r="E4" s="289"/>
      <c r="F4" s="289"/>
      <c r="G4" s="289"/>
      <c r="H4" s="289"/>
      <c r="I4" s="289"/>
      <c r="J4" s="289"/>
      <c r="K4" s="289"/>
      <c r="L4" s="289"/>
    </row>
    <row r="5" spans="1:12" s="171" customFormat="1" x14ac:dyDescent="0.2">
      <c r="A5" s="98"/>
      <c r="B5" s="98"/>
      <c r="C5" s="170"/>
      <c r="D5" s="170"/>
      <c r="E5" s="170"/>
      <c r="F5" s="170"/>
      <c r="G5" s="170"/>
      <c r="H5" s="170"/>
      <c r="I5" s="170"/>
      <c r="J5" s="174"/>
      <c r="K5" s="291" t="s">
        <v>225</v>
      </c>
      <c r="L5" s="291"/>
    </row>
    <row r="6" spans="1:12" ht="30.75" customHeight="1" x14ac:dyDescent="0.2">
      <c r="A6" s="279" t="s">
        <v>88</v>
      </c>
      <c r="B6" s="290" t="s">
        <v>90</v>
      </c>
      <c r="C6" s="290"/>
      <c r="D6" s="290"/>
      <c r="E6" s="290"/>
      <c r="F6" s="281" t="s">
        <v>91</v>
      </c>
      <c r="G6" s="281"/>
      <c r="H6" s="281"/>
      <c r="I6" s="281"/>
      <c r="J6" s="281"/>
      <c r="K6" s="281"/>
      <c r="L6" s="277" t="s">
        <v>87</v>
      </c>
    </row>
    <row r="7" spans="1:12" ht="91.5" customHeight="1" x14ac:dyDescent="0.2">
      <c r="A7" s="280"/>
      <c r="B7" s="175" t="s">
        <v>23</v>
      </c>
      <c r="C7" s="178" t="s">
        <v>12</v>
      </c>
      <c r="D7" s="178" t="s">
        <v>13</v>
      </c>
      <c r="E7" s="178" t="s">
        <v>92</v>
      </c>
      <c r="F7" s="175" t="s">
        <v>23</v>
      </c>
      <c r="G7" s="178" t="s">
        <v>12</v>
      </c>
      <c r="H7" s="178" t="s">
        <v>13</v>
      </c>
      <c r="I7" s="178" t="s">
        <v>85</v>
      </c>
      <c r="J7" s="178" t="s">
        <v>86</v>
      </c>
      <c r="K7" s="178" t="s">
        <v>7</v>
      </c>
      <c r="L7" s="278"/>
    </row>
    <row r="8" spans="1:12" s="181" customFormat="1" ht="24" customHeight="1" x14ac:dyDescent="0.2">
      <c r="A8" s="179">
        <v>1</v>
      </c>
      <c r="B8" s="180" t="s">
        <v>93</v>
      </c>
      <c r="C8" s="179">
        <v>3</v>
      </c>
      <c r="D8" s="179">
        <v>4</v>
      </c>
      <c r="E8" s="179">
        <v>5</v>
      </c>
      <c r="F8" s="180" t="s">
        <v>94</v>
      </c>
      <c r="G8" s="179">
        <v>7</v>
      </c>
      <c r="H8" s="179">
        <v>8</v>
      </c>
      <c r="I8" s="179">
        <v>9</v>
      </c>
      <c r="J8" s="179">
        <v>10</v>
      </c>
      <c r="K8" s="179">
        <v>11</v>
      </c>
      <c r="L8" s="179">
        <v>12</v>
      </c>
    </row>
    <row r="9" spans="1:12" s="182" customFormat="1" ht="23.25" customHeight="1" x14ac:dyDescent="0.2">
      <c r="A9" s="282" t="s">
        <v>263</v>
      </c>
      <c r="B9" s="282"/>
      <c r="C9" s="282"/>
      <c r="D9" s="282"/>
      <c r="E9" s="282"/>
      <c r="F9" s="282"/>
      <c r="G9" s="283"/>
      <c r="H9" s="283"/>
      <c r="I9" s="283"/>
      <c r="J9" s="283"/>
      <c r="K9" s="283"/>
      <c r="L9" s="283"/>
    </row>
    <row r="10" spans="1:12" s="182" customFormat="1" ht="20" customHeight="1" x14ac:dyDescent="0.2">
      <c r="A10" s="183" t="s">
        <v>189</v>
      </c>
      <c r="B10" s="191">
        <f>+C10+D10+E10</f>
        <v>0</v>
      </c>
      <c r="C10" s="91"/>
      <c r="D10" s="91"/>
      <c r="E10" s="91"/>
      <c r="F10" s="190">
        <f>+G10+H10+I10+J10+K10</f>
        <v>0</v>
      </c>
      <c r="G10" s="91"/>
      <c r="H10" s="91"/>
      <c r="I10" s="91"/>
      <c r="J10" s="91"/>
      <c r="K10" s="184"/>
      <c r="L10" s="184"/>
    </row>
    <row r="11" spans="1:12" ht="33" customHeight="1" x14ac:dyDescent="0.2">
      <c r="A11" s="185" t="s">
        <v>76</v>
      </c>
      <c r="B11" s="191">
        <f t="shared" ref="B11:B32" si="0">+C11+D11+E11</f>
        <v>0</v>
      </c>
      <c r="C11" s="91"/>
      <c r="D11" s="91"/>
      <c r="E11" s="91"/>
      <c r="F11" s="190">
        <f t="shared" ref="F11:F32" si="1">+G11+H11+I11+J11+K11</f>
        <v>0</v>
      </c>
      <c r="G11" s="91"/>
      <c r="H11" s="91"/>
      <c r="I11" s="91"/>
      <c r="J11" s="91"/>
      <c r="K11" s="91"/>
      <c r="L11" s="91"/>
    </row>
    <row r="12" spans="1:12" s="182" customFormat="1" ht="20" customHeight="1" x14ac:dyDescent="0.2">
      <c r="A12" s="186" t="s">
        <v>75</v>
      </c>
      <c r="B12" s="191">
        <f t="shared" si="0"/>
        <v>0</v>
      </c>
      <c r="C12" s="92"/>
      <c r="D12" s="92"/>
      <c r="E12" s="92"/>
      <c r="F12" s="190">
        <f t="shared" si="1"/>
        <v>0</v>
      </c>
      <c r="G12" s="92"/>
      <c r="H12" s="92"/>
      <c r="I12" s="92"/>
      <c r="J12" s="92"/>
      <c r="K12" s="92"/>
      <c r="L12" s="92"/>
    </row>
    <row r="13" spans="1:12" ht="17" x14ac:dyDescent="0.2">
      <c r="A13" s="185" t="s">
        <v>77</v>
      </c>
      <c r="B13" s="191">
        <f t="shared" si="0"/>
        <v>0</v>
      </c>
      <c r="C13" s="91"/>
      <c r="D13" s="91"/>
      <c r="E13" s="91"/>
      <c r="F13" s="190">
        <f t="shared" si="1"/>
        <v>0</v>
      </c>
      <c r="G13" s="91"/>
      <c r="H13" s="91"/>
      <c r="I13" s="91"/>
      <c r="J13" s="91"/>
      <c r="K13" s="91"/>
      <c r="L13" s="91"/>
    </row>
    <row r="14" spans="1:12" s="182" customFormat="1" ht="20" customHeight="1" x14ac:dyDescent="0.2">
      <c r="A14" s="186" t="s">
        <v>75</v>
      </c>
      <c r="B14" s="191">
        <f t="shared" si="0"/>
        <v>0</v>
      </c>
      <c r="C14" s="92"/>
      <c r="D14" s="92"/>
      <c r="E14" s="92"/>
      <c r="F14" s="190">
        <f t="shared" si="1"/>
        <v>0</v>
      </c>
      <c r="G14" s="92"/>
      <c r="H14" s="92"/>
      <c r="I14" s="92"/>
      <c r="J14" s="92"/>
      <c r="K14" s="92"/>
      <c r="L14" s="92"/>
    </row>
    <row r="15" spans="1:12" ht="20" customHeight="1" x14ac:dyDescent="0.2">
      <c r="A15" s="183" t="s">
        <v>187</v>
      </c>
      <c r="B15" s="191">
        <f t="shared" si="0"/>
        <v>0</v>
      </c>
      <c r="C15" s="190">
        <f>+C16+C18</f>
        <v>0</v>
      </c>
      <c r="D15" s="190">
        <f t="shared" ref="D15:L15" si="2">+D16+D18</f>
        <v>0</v>
      </c>
      <c r="E15" s="190">
        <f t="shared" si="2"/>
        <v>0</v>
      </c>
      <c r="F15" s="190">
        <f t="shared" si="1"/>
        <v>0</v>
      </c>
      <c r="G15" s="190">
        <f t="shared" si="2"/>
        <v>0</v>
      </c>
      <c r="H15" s="190">
        <f t="shared" si="2"/>
        <v>0</v>
      </c>
      <c r="I15" s="190">
        <f t="shared" si="2"/>
        <v>0</v>
      </c>
      <c r="J15" s="190">
        <f t="shared" si="2"/>
        <v>0</v>
      </c>
      <c r="K15" s="190">
        <f t="shared" si="2"/>
        <v>0</v>
      </c>
      <c r="L15" s="190">
        <f t="shared" si="2"/>
        <v>0</v>
      </c>
    </row>
    <row r="16" spans="1:12" s="182" customFormat="1" ht="20" customHeight="1" x14ac:dyDescent="0.2">
      <c r="A16" s="187" t="s">
        <v>27</v>
      </c>
      <c r="B16" s="191">
        <f t="shared" si="0"/>
        <v>0</v>
      </c>
      <c r="C16" s="92"/>
      <c r="D16" s="92"/>
      <c r="E16" s="92"/>
      <c r="F16" s="190">
        <f t="shared" si="1"/>
        <v>0</v>
      </c>
      <c r="G16" s="92"/>
      <c r="H16" s="92"/>
      <c r="I16" s="92"/>
      <c r="J16" s="92"/>
      <c r="K16" s="92"/>
      <c r="L16" s="92"/>
    </row>
    <row r="17" spans="1:12" s="182" customFormat="1" ht="20" customHeight="1" x14ac:dyDescent="0.2">
      <c r="A17" s="186" t="s">
        <v>75</v>
      </c>
      <c r="B17" s="191">
        <f t="shared" si="0"/>
        <v>0</v>
      </c>
      <c r="C17" s="92"/>
      <c r="D17" s="92"/>
      <c r="E17" s="92"/>
      <c r="F17" s="190">
        <f t="shared" si="1"/>
        <v>0</v>
      </c>
      <c r="G17" s="92"/>
      <c r="H17" s="92"/>
      <c r="I17" s="92"/>
      <c r="J17" s="92"/>
      <c r="K17" s="92"/>
      <c r="L17" s="92"/>
    </row>
    <row r="18" spans="1:12" s="182" customFormat="1" ht="20" customHeight="1" x14ac:dyDescent="0.2">
      <c r="A18" s="187" t="s">
        <v>28</v>
      </c>
      <c r="B18" s="191">
        <f t="shared" si="0"/>
        <v>0</v>
      </c>
      <c r="C18" s="92"/>
      <c r="D18" s="92"/>
      <c r="E18" s="92"/>
      <c r="F18" s="190">
        <f t="shared" si="1"/>
        <v>0</v>
      </c>
      <c r="G18" s="92"/>
      <c r="H18" s="92"/>
      <c r="I18" s="92"/>
      <c r="J18" s="92"/>
      <c r="K18" s="92"/>
      <c r="L18" s="92"/>
    </row>
    <row r="19" spans="1:12" s="182" customFormat="1" ht="20" customHeight="1" x14ac:dyDescent="0.2">
      <c r="A19" s="186" t="s">
        <v>75</v>
      </c>
      <c r="B19" s="191">
        <f t="shared" si="0"/>
        <v>0</v>
      </c>
      <c r="C19" s="92"/>
      <c r="D19" s="92"/>
      <c r="E19" s="92"/>
      <c r="F19" s="190">
        <f t="shared" si="1"/>
        <v>0</v>
      </c>
      <c r="G19" s="92"/>
      <c r="H19" s="92"/>
      <c r="I19" s="92"/>
      <c r="J19" s="92"/>
      <c r="K19" s="92"/>
      <c r="L19" s="92"/>
    </row>
    <row r="20" spans="1:12" ht="20" customHeight="1" x14ac:dyDescent="0.2">
      <c r="A20" s="183" t="s">
        <v>78</v>
      </c>
      <c r="B20" s="191">
        <f t="shared" si="0"/>
        <v>0</v>
      </c>
      <c r="C20" s="91"/>
      <c r="D20" s="91"/>
      <c r="E20" s="91"/>
      <c r="F20" s="190">
        <f t="shared" si="1"/>
        <v>0</v>
      </c>
      <c r="G20" s="91"/>
      <c r="H20" s="91"/>
      <c r="I20" s="91"/>
      <c r="J20" s="91"/>
      <c r="K20" s="91"/>
      <c r="L20" s="91"/>
    </row>
    <row r="21" spans="1:12" s="182" customFormat="1" ht="20" customHeight="1" x14ac:dyDescent="0.2">
      <c r="A21" s="186" t="s">
        <v>75</v>
      </c>
      <c r="B21" s="191">
        <f t="shared" si="0"/>
        <v>0</v>
      </c>
      <c r="C21" s="92"/>
      <c r="D21" s="92"/>
      <c r="E21" s="92"/>
      <c r="F21" s="190">
        <f t="shared" si="1"/>
        <v>0</v>
      </c>
      <c r="G21" s="92"/>
      <c r="H21" s="92"/>
      <c r="I21" s="92"/>
      <c r="J21" s="92"/>
      <c r="K21" s="92"/>
      <c r="L21" s="92"/>
    </row>
    <row r="22" spans="1:12" ht="20" customHeight="1" x14ac:dyDescent="0.2">
      <c r="A22" s="183" t="s">
        <v>79</v>
      </c>
      <c r="B22" s="191">
        <f t="shared" si="0"/>
        <v>0</v>
      </c>
      <c r="C22" s="91"/>
      <c r="D22" s="91"/>
      <c r="E22" s="91"/>
      <c r="F22" s="190">
        <f t="shared" si="1"/>
        <v>0</v>
      </c>
      <c r="G22" s="91"/>
      <c r="H22" s="91"/>
      <c r="I22" s="91"/>
      <c r="J22" s="91"/>
      <c r="K22" s="91"/>
      <c r="L22" s="91"/>
    </row>
    <row r="23" spans="1:12" s="182" customFormat="1" ht="20" customHeight="1" x14ac:dyDescent="0.2">
      <c r="A23" s="186" t="s">
        <v>75</v>
      </c>
      <c r="B23" s="191">
        <f t="shared" si="0"/>
        <v>0</v>
      </c>
      <c r="C23" s="92"/>
      <c r="D23" s="92"/>
      <c r="E23" s="92"/>
      <c r="F23" s="190">
        <f t="shared" si="1"/>
        <v>0</v>
      </c>
      <c r="G23" s="92"/>
      <c r="H23" s="92"/>
      <c r="I23" s="92"/>
      <c r="J23" s="92"/>
      <c r="K23" s="92"/>
      <c r="L23" s="92"/>
    </row>
    <row r="24" spans="1:12" ht="20" customHeight="1" x14ac:dyDescent="0.2">
      <c r="A24" s="183" t="s">
        <v>188</v>
      </c>
      <c r="B24" s="191">
        <f t="shared" si="0"/>
        <v>0</v>
      </c>
      <c r="C24" s="190">
        <f>+C25+C27+C29</f>
        <v>0</v>
      </c>
      <c r="D24" s="190">
        <f t="shared" ref="D24:L24" si="3">+D25+D27+D29</f>
        <v>0</v>
      </c>
      <c r="E24" s="190">
        <f t="shared" si="3"/>
        <v>0</v>
      </c>
      <c r="F24" s="190">
        <f t="shared" si="1"/>
        <v>0</v>
      </c>
      <c r="G24" s="190">
        <f t="shared" si="3"/>
        <v>0</v>
      </c>
      <c r="H24" s="190">
        <f t="shared" si="3"/>
        <v>0</v>
      </c>
      <c r="I24" s="190">
        <f t="shared" si="3"/>
        <v>0</v>
      </c>
      <c r="J24" s="190">
        <f t="shared" si="3"/>
        <v>0</v>
      </c>
      <c r="K24" s="190">
        <f t="shared" si="3"/>
        <v>0</v>
      </c>
      <c r="L24" s="190">
        <f t="shared" si="3"/>
        <v>0</v>
      </c>
    </row>
    <row r="25" spans="1:12" ht="20" customHeight="1" x14ac:dyDescent="0.2">
      <c r="A25" s="187" t="s">
        <v>29</v>
      </c>
      <c r="B25" s="191">
        <f t="shared" si="0"/>
        <v>0</v>
      </c>
      <c r="C25" s="91"/>
      <c r="D25" s="91"/>
      <c r="E25" s="91"/>
      <c r="F25" s="190">
        <f t="shared" si="1"/>
        <v>0</v>
      </c>
      <c r="G25" s="91"/>
      <c r="H25" s="91"/>
      <c r="I25" s="91"/>
      <c r="J25" s="91"/>
      <c r="K25" s="91"/>
      <c r="L25" s="91"/>
    </row>
    <row r="26" spans="1:12" s="182" customFormat="1" ht="20" customHeight="1" x14ac:dyDescent="0.2">
      <c r="A26" s="186" t="s">
        <v>75</v>
      </c>
      <c r="B26" s="191">
        <f t="shared" si="0"/>
        <v>0</v>
      </c>
      <c r="C26" s="92"/>
      <c r="D26" s="92"/>
      <c r="E26" s="92"/>
      <c r="F26" s="190">
        <f t="shared" si="1"/>
        <v>0</v>
      </c>
      <c r="G26" s="92"/>
      <c r="H26" s="92"/>
      <c r="I26" s="92"/>
      <c r="J26" s="92"/>
      <c r="K26" s="92"/>
      <c r="L26" s="92"/>
    </row>
    <row r="27" spans="1:12" ht="20" customHeight="1" x14ac:dyDescent="0.2">
      <c r="A27" s="187" t="s">
        <v>30</v>
      </c>
      <c r="B27" s="191">
        <f t="shared" si="0"/>
        <v>0</v>
      </c>
      <c r="C27" s="92"/>
      <c r="D27" s="92"/>
      <c r="E27" s="92"/>
      <c r="F27" s="190">
        <f t="shared" si="1"/>
        <v>0</v>
      </c>
      <c r="G27" s="92"/>
      <c r="H27" s="92"/>
      <c r="I27" s="92"/>
      <c r="J27" s="92"/>
      <c r="K27" s="92"/>
      <c r="L27" s="92"/>
    </row>
    <row r="28" spans="1:12" s="182" customFormat="1" ht="20" customHeight="1" x14ac:dyDescent="0.2">
      <c r="A28" s="186" t="s">
        <v>75</v>
      </c>
      <c r="B28" s="191">
        <f t="shared" si="0"/>
        <v>0</v>
      </c>
      <c r="C28" s="92"/>
      <c r="D28" s="92"/>
      <c r="E28" s="92"/>
      <c r="F28" s="190">
        <f t="shared" si="1"/>
        <v>0</v>
      </c>
      <c r="G28" s="92"/>
      <c r="H28" s="92"/>
      <c r="I28" s="92"/>
      <c r="J28" s="92"/>
      <c r="K28" s="92"/>
      <c r="L28" s="92"/>
    </row>
    <row r="29" spans="1:12" ht="20" customHeight="1" x14ac:dyDescent="0.2">
      <c r="A29" s="187" t="s">
        <v>31</v>
      </c>
      <c r="B29" s="191">
        <f t="shared" si="0"/>
        <v>0</v>
      </c>
      <c r="C29" s="91"/>
      <c r="D29" s="91"/>
      <c r="E29" s="91"/>
      <c r="F29" s="190">
        <f t="shared" si="1"/>
        <v>0</v>
      </c>
      <c r="G29" s="91"/>
      <c r="H29" s="91"/>
      <c r="I29" s="91"/>
      <c r="J29" s="91"/>
      <c r="K29" s="91"/>
      <c r="L29" s="91"/>
    </row>
    <row r="30" spans="1:12" s="182" customFormat="1" ht="20" customHeight="1" x14ac:dyDescent="0.2">
      <c r="A30" s="186" t="s">
        <v>75</v>
      </c>
      <c r="B30" s="191">
        <f t="shared" si="0"/>
        <v>0</v>
      </c>
      <c r="C30" s="92"/>
      <c r="D30" s="92"/>
      <c r="E30" s="92"/>
      <c r="F30" s="190">
        <f t="shared" si="1"/>
        <v>0</v>
      </c>
      <c r="G30" s="92"/>
      <c r="H30" s="92"/>
      <c r="I30" s="92"/>
      <c r="J30" s="92"/>
      <c r="K30" s="92"/>
      <c r="L30" s="92"/>
    </row>
    <row r="31" spans="1:12" ht="20" customHeight="1" x14ac:dyDescent="0.2">
      <c r="A31" s="183" t="s">
        <v>80</v>
      </c>
      <c r="B31" s="191">
        <f t="shared" si="0"/>
        <v>0</v>
      </c>
      <c r="C31" s="91"/>
      <c r="D31" s="91"/>
      <c r="E31" s="91"/>
      <c r="F31" s="190">
        <f t="shared" si="1"/>
        <v>0</v>
      </c>
      <c r="G31" s="91"/>
      <c r="H31" s="91"/>
      <c r="I31" s="91"/>
      <c r="J31" s="91"/>
      <c r="K31" s="91"/>
      <c r="L31" s="91"/>
    </row>
    <row r="32" spans="1:12" ht="28.5" customHeight="1" x14ac:dyDescent="0.2">
      <c r="A32" s="188" t="s">
        <v>186</v>
      </c>
      <c r="B32" s="191">
        <f t="shared" si="0"/>
        <v>0</v>
      </c>
      <c r="C32" s="91"/>
      <c r="D32" s="91"/>
      <c r="E32" s="91"/>
      <c r="F32" s="190">
        <f t="shared" si="1"/>
        <v>0</v>
      </c>
      <c r="G32" s="91"/>
      <c r="H32" s="91"/>
      <c r="I32" s="91"/>
      <c r="J32" s="91"/>
      <c r="K32" s="91"/>
      <c r="L32" s="91"/>
    </row>
    <row r="33" spans="1:12" ht="20" customHeight="1" x14ac:dyDescent="0.2">
      <c r="A33" s="189" t="s">
        <v>32</v>
      </c>
      <c r="B33" s="192">
        <f>+B10+B11+B13+B15+B20+B22+B24+B31+B32</f>
        <v>0</v>
      </c>
      <c r="C33" s="192">
        <f t="shared" ref="C33:L33" si="4">+C10+C11+C13+C15+C20+C22+C24+C31+C32</f>
        <v>0</v>
      </c>
      <c r="D33" s="192">
        <f t="shared" si="4"/>
        <v>0</v>
      </c>
      <c r="E33" s="192">
        <f t="shared" si="4"/>
        <v>0</v>
      </c>
      <c r="F33" s="192">
        <f t="shared" si="4"/>
        <v>0</v>
      </c>
      <c r="G33" s="192">
        <f t="shared" si="4"/>
        <v>0</v>
      </c>
      <c r="H33" s="192">
        <f t="shared" si="4"/>
        <v>0</v>
      </c>
      <c r="I33" s="192">
        <f t="shared" si="4"/>
        <v>0</v>
      </c>
      <c r="J33" s="192">
        <f t="shared" si="4"/>
        <v>0</v>
      </c>
      <c r="K33" s="192">
        <f t="shared" si="4"/>
        <v>0</v>
      </c>
      <c r="L33" s="192">
        <f t="shared" si="4"/>
        <v>0</v>
      </c>
    </row>
    <row r="34" spans="1:12" s="182" customFormat="1" ht="20" customHeight="1" x14ac:dyDescent="0.2">
      <c r="A34" s="284" t="s">
        <v>230</v>
      </c>
      <c r="B34" s="285"/>
      <c r="C34" s="285"/>
      <c r="D34" s="285"/>
      <c r="E34" s="285"/>
      <c r="F34" s="285"/>
      <c r="G34" s="285"/>
      <c r="H34" s="285"/>
      <c r="I34" s="285"/>
      <c r="J34" s="285"/>
      <c r="K34" s="285"/>
      <c r="L34" s="285"/>
    </row>
    <row r="35" spans="1:12" s="182" customFormat="1" ht="20" customHeight="1" x14ac:dyDescent="0.2">
      <c r="A35" s="183" t="s">
        <v>26</v>
      </c>
      <c r="B35" s="193">
        <f>+C35+D35+E35</f>
        <v>0</v>
      </c>
      <c r="C35" s="91"/>
      <c r="D35" s="91"/>
      <c r="E35" s="91"/>
      <c r="F35" s="190">
        <f>+G35+H35+I35+J35+K35</f>
        <v>0</v>
      </c>
      <c r="G35" s="91"/>
      <c r="H35" s="91"/>
      <c r="I35" s="91"/>
      <c r="J35" s="91"/>
      <c r="K35" s="184"/>
      <c r="L35" s="184"/>
    </row>
    <row r="36" spans="1:12" ht="21.75" customHeight="1" x14ac:dyDescent="0.2">
      <c r="A36" s="185" t="s">
        <v>76</v>
      </c>
      <c r="B36" s="193">
        <f t="shared" ref="B36:B57" si="5">+C36+D36+E36</f>
        <v>0</v>
      </c>
      <c r="C36" s="91"/>
      <c r="D36" s="91"/>
      <c r="E36" s="91"/>
      <c r="F36" s="190">
        <f t="shared" ref="F36:F57" si="6">+G36+H36+I36+J36+K36</f>
        <v>0</v>
      </c>
      <c r="G36" s="91"/>
      <c r="H36" s="91"/>
      <c r="I36" s="91"/>
      <c r="J36" s="91"/>
      <c r="K36" s="91"/>
      <c r="L36" s="91"/>
    </row>
    <row r="37" spans="1:12" s="182" customFormat="1" ht="20" customHeight="1" x14ac:dyDescent="0.2">
      <c r="A37" s="186" t="s">
        <v>75</v>
      </c>
      <c r="B37" s="193">
        <f t="shared" si="5"/>
        <v>0</v>
      </c>
      <c r="C37" s="92"/>
      <c r="D37" s="92"/>
      <c r="E37" s="92"/>
      <c r="F37" s="190">
        <f t="shared" si="6"/>
        <v>0</v>
      </c>
      <c r="G37" s="92"/>
      <c r="H37" s="92"/>
      <c r="I37" s="92"/>
      <c r="J37" s="92"/>
      <c r="K37" s="92"/>
      <c r="L37" s="92"/>
    </row>
    <row r="38" spans="1:12" ht="17" x14ac:dyDescent="0.2">
      <c r="A38" s="185" t="s">
        <v>77</v>
      </c>
      <c r="B38" s="193">
        <f t="shared" si="5"/>
        <v>0</v>
      </c>
      <c r="C38" s="91"/>
      <c r="D38" s="91"/>
      <c r="E38" s="91"/>
      <c r="F38" s="190">
        <f t="shared" si="6"/>
        <v>0</v>
      </c>
      <c r="G38" s="91"/>
      <c r="H38" s="91"/>
      <c r="I38" s="91"/>
      <c r="J38" s="91"/>
      <c r="K38" s="91"/>
      <c r="L38" s="91"/>
    </row>
    <row r="39" spans="1:12" s="182" customFormat="1" ht="20" customHeight="1" x14ac:dyDescent="0.2">
      <c r="A39" s="186" t="s">
        <v>75</v>
      </c>
      <c r="B39" s="193">
        <f t="shared" si="5"/>
        <v>0</v>
      </c>
      <c r="C39" s="92"/>
      <c r="D39" s="92"/>
      <c r="E39" s="92"/>
      <c r="F39" s="190">
        <f t="shared" si="6"/>
        <v>0</v>
      </c>
      <c r="G39" s="92"/>
      <c r="H39" s="92"/>
      <c r="I39" s="92"/>
      <c r="J39" s="92"/>
      <c r="K39" s="92"/>
      <c r="L39" s="92"/>
    </row>
    <row r="40" spans="1:12" ht="20" customHeight="1" x14ac:dyDescent="0.2">
      <c r="A40" s="183" t="s">
        <v>187</v>
      </c>
      <c r="B40" s="193">
        <f t="shared" si="5"/>
        <v>0</v>
      </c>
      <c r="C40" s="190">
        <f>+C41+C43</f>
        <v>0</v>
      </c>
      <c r="D40" s="190">
        <f t="shared" ref="D40" si="7">+D41+D43</f>
        <v>0</v>
      </c>
      <c r="E40" s="190">
        <f t="shared" ref="E40" si="8">+E41+E43</f>
        <v>0</v>
      </c>
      <c r="F40" s="190">
        <f t="shared" si="6"/>
        <v>0</v>
      </c>
      <c r="G40" s="190">
        <f t="shared" ref="G40" si="9">+G41+G43</f>
        <v>0</v>
      </c>
      <c r="H40" s="190">
        <f t="shared" ref="H40" si="10">+H41+H43</f>
        <v>0</v>
      </c>
      <c r="I40" s="190">
        <f t="shared" ref="I40" si="11">+I41+I43</f>
        <v>0</v>
      </c>
      <c r="J40" s="190">
        <f t="shared" ref="J40" si="12">+J41+J43</f>
        <v>0</v>
      </c>
      <c r="K40" s="190">
        <f t="shared" ref="K40" si="13">+K41+K43</f>
        <v>0</v>
      </c>
      <c r="L40" s="190">
        <f t="shared" ref="L40" si="14">+L41+L43</f>
        <v>0</v>
      </c>
    </row>
    <row r="41" spans="1:12" s="182" customFormat="1" ht="20" customHeight="1" x14ac:dyDescent="0.2">
      <c r="A41" s="187" t="s">
        <v>27</v>
      </c>
      <c r="B41" s="193">
        <f t="shared" si="5"/>
        <v>0</v>
      </c>
      <c r="C41" s="92"/>
      <c r="D41" s="92"/>
      <c r="E41" s="92"/>
      <c r="F41" s="190">
        <f t="shared" si="6"/>
        <v>0</v>
      </c>
      <c r="G41" s="92"/>
      <c r="H41" s="92"/>
      <c r="I41" s="92"/>
      <c r="J41" s="92"/>
      <c r="K41" s="92"/>
      <c r="L41" s="92"/>
    </row>
    <row r="42" spans="1:12" s="182" customFormat="1" ht="20" customHeight="1" x14ac:dyDescent="0.2">
      <c r="A42" s="186" t="s">
        <v>75</v>
      </c>
      <c r="B42" s="193">
        <f t="shared" si="5"/>
        <v>0</v>
      </c>
      <c r="C42" s="92"/>
      <c r="D42" s="92"/>
      <c r="E42" s="92"/>
      <c r="F42" s="190">
        <f t="shared" si="6"/>
        <v>0</v>
      </c>
      <c r="G42" s="92"/>
      <c r="H42" s="92"/>
      <c r="I42" s="92"/>
      <c r="J42" s="92"/>
      <c r="K42" s="92"/>
      <c r="L42" s="92"/>
    </row>
    <row r="43" spans="1:12" s="182" customFormat="1" ht="20" customHeight="1" x14ac:dyDescent="0.2">
      <c r="A43" s="187" t="s">
        <v>28</v>
      </c>
      <c r="B43" s="193">
        <f t="shared" si="5"/>
        <v>0</v>
      </c>
      <c r="C43" s="92"/>
      <c r="D43" s="92"/>
      <c r="E43" s="92"/>
      <c r="F43" s="190">
        <f t="shared" si="6"/>
        <v>0</v>
      </c>
      <c r="G43" s="92"/>
      <c r="H43" s="92"/>
      <c r="I43" s="92"/>
      <c r="J43" s="92"/>
      <c r="K43" s="92"/>
      <c r="L43" s="92"/>
    </row>
    <row r="44" spans="1:12" s="182" customFormat="1" ht="20" customHeight="1" x14ac:dyDescent="0.2">
      <c r="A44" s="186" t="s">
        <v>75</v>
      </c>
      <c r="B44" s="193">
        <f t="shared" si="5"/>
        <v>0</v>
      </c>
      <c r="C44" s="92"/>
      <c r="D44" s="92"/>
      <c r="E44" s="92"/>
      <c r="F44" s="190">
        <f t="shared" si="6"/>
        <v>0</v>
      </c>
      <c r="G44" s="92"/>
      <c r="H44" s="92"/>
      <c r="I44" s="92"/>
      <c r="J44" s="92"/>
      <c r="K44" s="92"/>
      <c r="L44" s="92"/>
    </row>
    <row r="45" spans="1:12" ht="20" customHeight="1" x14ac:dyDescent="0.2">
      <c r="A45" s="183" t="s">
        <v>78</v>
      </c>
      <c r="B45" s="193">
        <f t="shared" si="5"/>
        <v>0</v>
      </c>
      <c r="C45" s="91"/>
      <c r="D45" s="91"/>
      <c r="E45" s="91"/>
      <c r="F45" s="190">
        <f t="shared" si="6"/>
        <v>0</v>
      </c>
      <c r="G45" s="91"/>
      <c r="H45" s="91"/>
      <c r="I45" s="91"/>
      <c r="J45" s="91"/>
      <c r="K45" s="91"/>
      <c r="L45" s="91"/>
    </row>
    <row r="46" spans="1:12" s="182" customFormat="1" ht="20" customHeight="1" x14ac:dyDescent="0.2">
      <c r="A46" s="186" t="s">
        <v>75</v>
      </c>
      <c r="B46" s="193">
        <f t="shared" si="5"/>
        <v>0</v>
      </c>
      <c r="C46" s="92"/>
      <c r="D46" s="92"/>
      <c r="E46" s="92"/>
      <c r="F46" s="190">
        <f t="shared" si="6"/>
        <v>0</v>
      </c>
      <c r="G46" s="92"/>
      <c r="H46" s="92"/>
      <c r="I46" s="92"/>
      <c r="J46" s="92"/>
      <c r="K46" s="92"/>
      <c r="L46" s="92"/>
    </row>
    <row r="47" spans="1:12" ht="20" customHeight="1" x14ac:dyDescent="0.2">
      <c r="A47" s="183" t="s">
        <v>79</v>
      </c>
      <c r="B47" s="193">
        <f t="shared" si="5"/>
        <v>0</v>
      </c>
      <c r="C47" s="91"/>
      <c r="D47" s="91"/>
      <c r="E47" s="91"/>
      <c r="F47" s="190">
        <f t="shared" si="6"/>
        <v>0</v>
      </c>
      <c r="G47" s="91"/>
      <c r="H47" s="91"/>
      <c r="I47" s="91"/>
      <c r="J47" s="91"/>
      <c r="K47" s="91"/>
      <c r="L47" s="91"/>
    </row>
    <row r="48" spans="1:12" s="182" customFormat="1" ht="20" customHeight="1" x14ac:dyDescent="0.2">
      <c r="A48" s="186" t="s">
        <v>75</v>
      </c>
      <c r="B48" s="193">
        <f t="shared" si="5"/>
        <v>0</v>
      </c>
      <c r="C48" s="92"/>
      <c r="D48" s="92"/>
      <c r="E48" s="92"/>
      <c r="F48" s="190">
        <f t="shared" si="6"/>
        <v>0</v>
      </c>
      <c r="G48" s="92"/>
      <c r="H48" s="92"/>
      <c r="I48" s="92"/>
      <c r="J48" s="92"/>
      <c r="K48" s="92"/>
      <c r="L48" s="92"/>
    </row>
    <row r="49" spans="1:12" ht="20" customHeight="1" x14ac:dyDescent="0.2">
      <c r="A49" s="183" t="s">
        <v>188</v>
      </c>
      <c r="B49" s="193">
        <f t="shared" si="5"/>
        <v>0</v>
      </c>
      <c r="C49" s="190">
        <f>+C50+C52+C54</f>
        <v>0</v>
      </c>
      <c r="D49" s="190">
        <f t="shared" ref="D49" si="15">+D50+D52+D54</f>
        <v>0</v>
      </c>
      <c r="E49" s="190">
        <f t="shared" ref="E49" si="16">+E50+E52+E54</f>
        <v>0</v>
      </c>
      <c r="F49" s="190">
        <f t="shared" si="6"/>
        <v>0</v>
      </c>
      <c r="G49" s="190">
        <f t="shared" ref="G49" si="17">+G50+G52+G54</f>
        <v>0</v>
      </c>
      <c r="H49" s="190">
        <f t="shared" ref="H49" si="18">+H50+H52+H54</f>
        <v>0</v>
      </c>
      <c r="I49" s="190">
        <f t="shared" ref="I49" si="19">+I50+I52+I54</f>
        <v>0</v>
      </c>
      <c r="J49" s="190">
        <f t="shared" ref="J49" si="20">+J50+J52+J54</f>
        <v>0</v>
      </c>
      <c r="K49" s="190">
        <f t="shared" ref="K49" si="21">+K50+K52+K54</f>
        <v>0</v>
      </c>
      <c r="L49" s="190">
        <f t="shared" ref="L49" si="22">+L50+L52+L54</f>
        <v>0</v>
      </c>
    </row>
    <row r="50" spans="1:12" ht="20" customHeight="1" x14ac:dyDescent="0.2">
      <c r="A50" s="187" t="s">
        <v>29</v>
      </c>
      <c r="B50" s="193">
        <f t="shared" si="5"/>
        <v>0</v>
      </c>
      <c r="C50" s="91"/>
      <c r="D50" s="91"/>
      <c r="E50" s="91"/>
      <c r="F50" s="190">
        <f t="shared" si="6"/>
        <v>0</v>
      </c>
      <c r="G50" s="91"/>
      <c r="H50" s="91"/>
      <c r="I50" s="91"/>
      <c r="J50" s="91"/>
      <c r="K50" s="91"/>
      <c r="L50" s="91"/>
    </row>
    <row r="51" spans="1:12" s="182" customFormat="1" ht="20" customHeight="1" x14ac:dyDescent="0.2">
      <c r="A51" s="186" t="s">
        <v>75</v>
      </c>
      <c r="B51" s="193">
        <f t="shared" si="5"/>
        <v>0</v>
      </c>
      <c r="C51" s="92"/>
      <c r="D51" s="92"/>
      <c r="E51" s="92"/>
      <c r="F51" s="190">
        <f t="shared" si="6"/>
        <v>0</v>
      </c>
      <c r="G51" s="92"/>
      <c r="H51" s="92"/>
      <c r="I51" s="92"/>
      <c r="J51" s="92"/>
      <c r="K51" s="92"/>
      <c r="L51" s="92"/>
    </row>
    <row r="52" spans="1:12" ht="20" customHeight="1" x14ac:dyDescent="0.2">
      <c r="A52" s="187" t="s">
        <v>30</v>
      </c>
      <c r="B52" s="193">
        <f t="shared" si="5"/>
        <v>0</v>
      </c>
      <c r="C52" s="92"/>
      <c r="D52" s="92"/>
      <c r="E52" s="92"/>
      <c r="F52" s="190">
        <f t="shared" si="6"/>
        <v>0</v>
      </c>
      <c r="G52" s="92"/>
      <c r="H52" s="92"/>
      <c r="I52" s="92"/>
      <c r="J52" s="92"/>
      <c r="K52" s="92"/>
      <c r="L52" s="92"/>
    </row>
    <row r="53" spans="1:12" s="182" customFormat="1" ht="20" customHeight="1" x14ac:dyDescent="0.2">
      <c r="A53" s="186" t="s">
        <v>75</v>
      </c>
      <c r="B53" s="193">
        <f t="shared" si="5"/>
        <v>0</v>
      </c>
      <c r="C53" s="92"/>
      <c r="D53" s="92"/>
      <c r="E53" s="92"/>
      <c r="F53" s="190">
        <f t="shared" si="6"/>
        <v>0</v>
      </c>
      <c r="G53" s="92"/>
      <c r="H53" s="92"/>
      <c r="I53" s="92"/>
      <c r="J53" s="92"/>
      <c r="K53" s="92"/>
      <c r="L53" s="92"/>
    </row>
    <row r="54" spans="1:12" ht="20" customHeight="1" x14ac:dyDescent="0.2">
      <c r="A54" s="187" t="s">
        <v>31</v>
      </c>
      <c r="B54" s="193">
        <f t="shared" si="5"/>
        <v>0</v>
      </c>
      <c r="C54" s="91"/>
      <c r="D54" s="91"/>
      <c r="E54" s="91"/>
      <c r="F54" s="190">
        <f t="shared" si="6"/>
        <v>0</v>
      </c>
      <c r="G54" s="91"/>
      <c r="H54" s="91"/>
      <c r="I54" s="91"/>
      <c r="J54" s="91"/>
      <c r="K54" s="91"/>
      <c r="L54" s="91"/>
    </row>
    <row r="55" spans="1:12" s="182" customFormat="1" ht="20" customHeight="1" x14ac:dyDescent="0.2">
      <c r="A55" s="186" t="s">
        <v>75</v>
      </c>
      <c r="B55" s="193">
        <f t="shared" si="5"/>
        <v>0</v>
      </c>
      <c r="C55" s="92"/>
      <c r="D55" s="92"/>
      <c r="E55" s="92"/>
      <c r="F55" s="190">
        <f t="shared" si="6"/>
        <v>0</v>
      </c>
      <c r="G55" s="92"/>
      <c r="H55" s="92"/>
      <c r="I55" s="92"/>
      <c r="J55" s="92"/>
      <c r="K55" s="92"/>
      <c r="L55" s="92"/>
    </row>
    <row r="56" spans="1:12" ht="20" customHeight="1" x14ac:dyDescent="0.2">
      <c r="A56" s="183" t="s">
        <v>80</v>
      </c>
      <c r="B56" s="193">
        <f t="shared" si="5"/>
        <v>0</v>
      </c>
      <c r="C56" s="91"/>
      <c r="D56" s="91"/>
      <c r="E56" s="91"/>
      <c r="F56" s="190">
        <f t="shared" si="6"/>
        <v>0</v>
      </c>
      <c r="G56" s="91"/>
      <c r="H56" s="91"/>
      <c r="I56" s="91"/>
      <c r="J56" s="91"/>
      <c r="K56" s="91"/>
      <c r="L56" s="91"/>
    </row>
    <row r="57" spans="1:12" ht="28.5" customHeight="1" x14ac:dyDescent="0.2">
      <c r="A57" s="188" t="s">
        <v>186</v>
      </c>
      <c r="B57" s="193">
        <f t="shared" si="5"/>
        <v>0</v>
      </c>
      <c r="C57" s="91"/>
      <c r="D57" s="91"/>
      <c r="E57" s="91"/>
      <c r="F57" s="190">
        <f t="shared" si="6"/>
        <v>0</v>
      </c>
      <c r="G57" s="91"/>
      <c r="H57" s="91"/>
      <c r="I57" s="91"/>
      <c r="J57" s="91"/>
      <c r="K57" s="91"/>
      <c r="L57" s="91"/>
    </row>
    <row r="58" spans="1:12" ht="20" customHeight="1" x14ac:dyDescent="0.2">
      <c r="A58" s="189" t="s">
        <v>32</v>
      </c>
      <c r="B58" s="93">
        <f>+B35+B36+B38+B40+B45+B47+B49+B56+B57</f>
        <v>0</v>
      </c>
      <c r="C58" s="190">
        <f t="shared" ref="C58" si="23">+C35+C36+C38+C40+C45+C47+C49+C56+C57</f>
        <v>0</v>
      </c>
      <c r="D58" s="190">
        <f t="shared" ref="D58" si="24">+D35+D36+D38+D40+D45+D47+D49+D56+D57</f>
        <v>0</v>
      </c>
      <c r="E58" s="190">
        <f t="shared" ref="E58" si="25">+E35+E36+E38+E40+E45+E47+E49+E56+E57</f>
        <v>0</v>
      </c>
      <c r="F58" s="190">
        <f t="shared" ref="F58" si="26">+F35+F36+F38+F40+F45+F47+F49+F56+F57</f>
        <v>0</v>
      </c>
      <c r="G58" s="190">
        <f t="shared" ref="G58" si="27">+G35+G36+G38+G40+G45+G47+G49+G56+G57</f>
        <v>0</v>
      </c>
      <c r="H58" s="190">
        <f t="shared" ref="H58" si="28">+H35+H36+H38+H40+H45+H47+H49+H56+H57</f>
        <v>0</v>
      </c>
      <c r="I58" s="190">
        <f t="shared" ref="I58" si="29">+I35+I36+I38+I40+I45+I47+I49+I56+I57</f>
        <v>0</v>
      </c>
      <c r="J58" s="190">
        <f t="shared" ref="J58" si="30">+J35+J36+J38+J40+J45+J47+J49+J56+J57</f>
        <v>0</v>
      </c>
      <c r="K58" s="190">
        <f t="shared" ref="K58" si="31">+K35+K36+K38+K40+K45+K47+K49+K56+K57</f>
        <v>0</v>
      </c>
      <c r="L58" s="190">
        <f t="shared" ref="L58" si="32">+L35+L36+L38+L40+L45+L47+L49+L56+L57</f>
        <v>0</v>
      </c>
    </row>
    <row r="59" spans="1:12" ht="34.5" customHeight="1" x14ac:dyDescent="0.2">
      <c r="A59" s="286"/>
      <c r="B59" s="286"/>
      <c r="C59" s="286"/>
      <c r="D59" s="286"/>
      <c r="E59" s="286"/>
      <c r="F59" s="286"/>
      <c r="G59" s="286"/>
      <c r="H59" s="286"/>
      <c r="I59" s="286"/>
      <c r="J59" s="286"/>
      <c r="K59" s="286"/>
      <c r="L59" s="286"/>
    </row>
    <row r="60" spans="1:12" ht="29" customHeight="1" x14ac:dyDescent="0.2">
      <c r="A60" s="35" t="s">
        <v>8</v>
      </c>
      <c r="B60" s="35"/>
      <c r="C60" s="30"/>
      <c r="D60" s="35"/>
      <c r="E60" s="35"/>
      <c r="F60" s="35"/>
      <c r="G60" s="30"/>
      <c r="H60" s="250" t="s">
        <v>9</v>
      </c>
      <c r="I60" s="250"/>
      <c r="J60" s="250"/>
      <c r="K60" s="250"/>
      <c r="L60" s="250"/>
    </row>
    <row r="61" spans="1:12" ht="25.5" customHeight="1" x14ac:dyDescent="0.2">
      <c r="A61" s="101" t="s">
        <v>33</v>
      </c>
      <c r="B61" s="101"/>
      <c r="C61" s="102"/>
      <c r="D61" s="101"/>
      <c r="E61" s="101"/>
      <c r="F61" s="101"/>
      <c r="G61" s="102"/>
      <c r="H61" s="276" t="s">
        <v>34</v>
      </c>
      <c r="I61" s="276"/>
      <c r="J61" s="276"/>
      <c r="K61" s="276"/>
      <c r="L61" s="276"/>
    </row>
    <row r="75" ht="360" customHeight="1" x14ac:dyDescent="0.2"/>
  </sheetData>
  <mergeCells count="13">
    <mergeCell ref="H1:L1"/>
    <mergeCell ref="H2:L2"/>
    <mergeCell ref="A3:L4"/>
    <mergeCell ref="B6:E6"/>
    <mergeCell ref="K5:L5"/>
    <mergeCell ref="H61:L61"/>
    <mergeCell ref="L6:L7"/>
    <mergeCell ref="A6:A7"/>
    <mergeCell ref="F6:K6"/>
    <mergeCell ref="A9:L9"/>
    <mergeCell ref="A34:L34"/>
    <mergeCell ref="A59:L59"/>
    <mergeCell ref="H60:L60"/>
  </mergeCells>
  <dataValidations count="1">
    <dataValidation type="whole" operator="greaterThanOrEqual" allowBlank="1" showInputMessage="1" showErrorMessage="1" errorTitle="Thông báo" error="Chỉ nhập số liệu dạng số" sqref="G11:L32 C11:E32 C36:E58 G36:L58 F58" xr:uid="{00000000-0002-0000-0200-000000000000}">
      <formula1>0</formula1>
    </dataValidation>
  </dataValidations>
  <printOptions horizontalCentered="1"/>
  <pageMargins left="0" right="0" top="0.51181102362204722" bottom="0" header="0.31496062992125984" footer="0.31496062992125984"/>
  <pageSetup paperSize="9" scale="9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C19"/>
  <sheetViews>
    <sheetView zoomScale="85" zoomScaleNormal="85" workbookViewId="0">
      <selection activeCell="D1" sqref="D1:P1048576"/>
    </sheetView>
  </sheetViews>
  <sheetFormatPr baseColWidth="10" defaultColWidth="9.1640625" defaultRowHeight="14" x14ac:dyDescent="0.2"/>
  <cols>
    <col min="1" max="1" width="51" style="139" customWidth="1"/>
    <col min="2" max="2" width="13.6640625" style="139" customWidth="1"/>
    <col min="3" max="3" width="21.1640625" style="149" customWidth="1"/>
    <col min="4" max="16384" width="9.1640625" style="139"/>
  </cols>
  <sheetData>
    <row r="1" spans="1:3" ht="34" x14ac:dyDescent="0.2">
      <c r="A1" s="24" t="s">
        <v>235</v>
      </c>
      <c r="B1" s="293" t="s">
        <v>0</v>
      </c>
      <c r="C1" s="293"/>
    </row>
    <row r="2" spans="1:3" ht="16" x14ac:dyDescent="0.2">
      <c r="A2" s="81" t="s">
        <v>4</v>
      </c>
      <c r="B2" s="294" t="s">
        <v>240</v>
      </c>
      <c r="C2" s="294"/>
    </row>
    <row r="4" spans="1:3" ht="50.25" customHeight="1" x14ac:dyDescent="0.2">
      <c r="A4" s="295" t="s">
        <v>264</v>
      </c>
      <c r="B4" s="295"/>
      <c r="C4" s="295"/>
    </row>
    <row r="5" spans="1:3" ht="24" customHeight="1" x14ac:dyDescent="0.2">
      <c r="A5" s="296" t="s">
        <v>218</v>
      </c>
      <c r="B5" s="296"/>
      <c r="C5" s="296"/>
    </row>
    <row r="6" spans="1:3" ht="39" customHeight="1" x14ac:dyDescent="0.2">
      <c r="A6" s="297" t="s">
        <v>42</v>
      </c>
      <c r="B6" s="299" t="s">
        <v>213</v>
      </c>
      <c r="C6" s="299"/>
    </row>
    <row r="7" spans="1:3" ht="48" customHeight="1" x14ac:dyDescent="0.2">
      <c r="A7" s="298"/>
      <c r="B7" s="94" t="s">
        <v>23</v>
      </c>
      <c r="C7" s="140" t="s">
        <v>219</v>
      </c>
    </row>
    <row r="8" spans="1:3" ht="33.75" customHeight="1" x14ac:dyDescent="0.2">
      <c r="A8" s="152" t="s">
        <v>214</v>
      </c>
      <c r="B8" s="91"/>
      <c r="C8" s="153"/>
    </row>
    <row r="9" spans="1:3" ht="33.75" customHeight="1" x14ac:dyDescent="0.2">
      <c r="A9" s="152" t="s">
        <v>215</v>
      </c>
      <c r="B9" s="91"/>
      <c r="C9" s="153"/>
    </row>
    <row r="10" spans="1:3" ht="33.75" customHeight="1" x14ac:dyDescent="0.2">
      <c r="A10" s="152" t="s">
        <v>216</v>
      </c>
      <c r="B10" s="91"/>
      <c r="C10" s="153"/>
    </row>
    <row r="11" spans="1:3" ht="33.75" customHeight="1" x14ac:dyDescent="0.2">
      <c r="A11" s="152" t="s">
        <v>217</v>
      </c>
      <c r="B11" s="91"/>
      <c r="C11" s="153"/>
    </row>
    <row r="12" spans="1:3" ht="33.75" customHeight="1" x14ac:dyDescent="0.2">
      <c r="A12" s="93" t="s">
        <v>23</v>
      </c>
      <c r="B12" s="154">
        <f>SUM(B8:B11)</f>
        <v>0</v>
      </c>
      <c r="C12" s="154">
        <f>SUM(C8:C11)</f>
        <v>0</v>
      </c>
    </row>
    <row r="13" spans="1:3" s="148" customFormat="1" ht="9" customHeight="1" x14ac:dyDescent="0.2">
      <c r="A13" s="292"/>
      <c r="B13" s="292"/>
    </row>
    <row r="14" spans="1:3" s="28" customFormat="1" ht="29" customHeight="1" x14ac:dyDescent="0.2">
      <c r="A14" s="35" t="s">
        <v>8</v>
      </c>
      <c r="B14" s="111"/>
      <c r="C14" s="31" t="s">
        <v>9</v>
      </c>
    </row>
    <row r="15" spans="1:3" s="28" customFormat="1" ht="25.5" customHeight="1" x14ac:dyDescent="0.2">
      <c r="A15" s="36" t="s">
        <v>33</v>
      </c>
      <c r="B15" s="151"/>
      <c r="C15" s="33" t="s">
        <v>34</v>
      </c>
    </row>
    <row r="16" spans="1:3" x14ac:dyDescent="0.2">
      <c r="A16" s="148"/>
      <c r="B16" s="148"/>
    </row>
    <row r="17" spans="1:2" x14ac:dyDescent="0.2">
      <c r="A17" s="148"/>
      <c r="B17" s="148"/>
    </row>
    <row r="18" spans="1:2" x14ac:dyDescent="0.2">
      <c r="A18" s="148"/>
      <c r="B18" s="148"/>
    </row>
    <row r="19" spans="1:2" x14ac:dyDescent="0.2">
      <c r="A19" s="148"/>
      <c r="B19" s="148"/>
    </row>
  </sheetData>
  <mergeCells count="7">
    <mergeCell ref="A13:B13"/>
    <mergeCell ref="B1:C1"/>
    <mergeCell ref="B2:C2"/>
    <mergeCell ref="A4:C4"/>
    <mergeCell ref="A5:C5"/>
    <mergeCell ref="A6:A7"/>
    <mergeCell ref="B6:C6"/>
  </mergeCells>
  <dataValidations count="1">
    <dataValidation type="whole" operator="greaterThanOrEqual" allowBlank="1" showInputMessage="1" showErrorMessage="1" errorTitle="Thông báo" error="Chỉ nhập số liệu dạng số" sqref="B8:B12 C12" xr:uid="{00000000-0002-0000-0300-000000000000}">
      <formula1>0</formula1>
    </dataValidation>
  </dataValidations>
  <printOptions horizontalCentered="1"/>
  <pageMargins left="0.25" right="0.25" top="0.75" bottom="0.75" header="0.3" footer="0.3"/>
  <pageSetup paperSize="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K70"/>
  <sheetViews>
    <sheetView showGridLines="0" topLeftCell="C1" zoomScale="103" zoomScaleNormal="103" zoomScaleSheetLayoutView="100" workbookViewId="0">
      <selection activeCell="L1" sqref="L1:W1048576"/>
    </sheetView>
  </sheetViews>
  <sheetFormatPr baseColWidth="10" defaultColWidth="8.83203125" defaultRowHeight="16" x14ac:dyDescent="0.2"/>
  <cols>
    <col min="1" max="1" width="4.83203125" style="7" customWidth="1"/>
    <col min="2" max="2" width="31.6640625" style="12" customWidth="1"/>
    <col min="3" max="8" width="12.5" style="1" customWidth="1"/>
    <col min="9" max="233" width="9.1640625" style="1"/>
    <col min="234" max="234" width="4.5" style="1" customWidth="1"/>
    <col min="235" max="235" width="39.5" style="1" customWidth="1"/>
    <col min="236" max="239" width="12.33203125" style="1" customWidth="1"/>
    <col min="240" max="240" width="7.83203125" style="1" customWidth="1"/>
    <col min="241" max="489" width="9.1640625" style="1"/>
    <col min="490" max="490" width="4.5" style="1" customWidth="1"/>
    <col min="491" max="491" width="39.5" style="1" customWidth="1"/>
    <col min="492" max="495" width="12.33203125" style="1" customWidth="1"/>
    <col min="496" max="496" width="7.83203125" style="1" customWidth="1"/>
    <col min="497" max="745" width="9.1640625" style="1"/>
    <col min="746" max="746" width="4.5" style="1" customWidth="1"/>
    <col min="747" max="747" width="39.5" style="1" customWidth="1"/>
    <col min="748" max="751" width="12.33203125" style="1" customWidth="1"/>
    <col min="752" max="752" width="7.83203125" style="1" customWidth="1"/>
    <col min="753" max="1001" width="9.1640625" style="1"/>
    <col min="1002" max="1002" width="4.5" style="1" customWidth="1"/>
    <col min="1003" max="1003" width="39.5" style="1" customWidth="1"/>
    <col min="1004" max="1007" width="12.33203125" style="1" customWidth="1"/>
    <col min="1008" max="1008" width="7.83203125" style="1" customWidth="1"/>
    <col min="1009" max="1257" width="9.1640625" style="1"/>
    <col min="1258" max="1258" width="4.5" style="1" customWidth="1"/>
    <col min="1259" max="1259" width="39.5" style="1" customWidth="1"/>
    <col min="1260" max="1263" width="12.33203125" style="1" customWidth="1"/>
    <col min="1264" max="1264" width="7.83203125" style="1" customWidth="1"/>
    <col min="1265" max="1513" width="9.1640625" style="1"/>
    <col min="1514" max="1514" width="4.5" style="1" customWidth="1"/>
    <col min="1515" max="1515" width="39.5" style="1" customWidth="1"/>
    <col min="1516" max="1519" width="12.33203125" style="1" customWidth="1"/>
    <col min="1520" max="1520" width="7.83203125" style="1" customWidth="1"/>
    <col min="1521" max="1769" width="9.1640625" style="1"/>
    <col min="1770" max="1770" width="4.5" style="1" customWidth="1"/>
    <col min="1771" max="1771" width="39.5" style="1" customWidth="1"/>
    <col min="1772" max="1775" width="12.33203125" style="1" customWidth="1"/>
    <col min="1776" max="1776" width="7.83203125" style="1" customWidth="1"/>
    <col min="1777" max="2025" width="9.1640625" style="1"/>
    <col min="2026" max="2026" width="4.5" style="1" customWidth="1"/>
    <col min="2027" max="2027" width="39.5" style="1" customWidth="1"/>
    <col min="2028" max="2031" width="12.33203125" style="1" customWidth="1"/>
    <col min="2032" max="2032" width="7.83203125" style="1" customWidth="1"/>
    <col min="2033" max="2281" width="9.1640625" style="1"/>
    <col min="2282" max="2282" width="4.5" style="1" customWidth="1"/>
    <col min="2283" max="2283" width="39.5" style="1" customWidth="1"/>
    <col min="2284" max="2287" width="12.33203125" style="1" customWidth="1"/>
    <col min="2288" max="2288" width="7.83203125" style="1" customWidth="1"/>
    <col min="2289" max="2537" width="9.1640625" style="1"/>
    <col min="2538" max="2538" width="4.5" style="1" customWidth="1"/>
    <col min="2539" max="2539" width="39.5" style="1" customWidth="1"/>
    <col min="2540" max="2543" width="12.33203125" style="1" customWidth="1"/>
    <col min="2544" max="2544" width="7.83203125" style="1" customWidth="1"/>
    <col min="2545" max="2793" width="9.1640625" style="1"/>
    <col min="2794" max="2794" width="4.5" style="1" customWidth="1"/>
    <col min="2795" max="2795" width="39.5" style="1" customWidth="1"/>
    <col min="2796" max="2799" width="12.33203125" style="1" customWidth="1"/>
    <col min="2800" max="2800" width="7.83203125" style="1" customWidth="1"/>
    <col min="2801" max="3049" width="9.1640625" style="1"/>
    <col min="3050" max="3050" width="4.5" style="1" customWidth="1"/>
    <col min="3051" max="3051" width="39.5" style="1" customWidth="1"/>
    <col min="3052" max="3055" width="12.33203125" style="1" customWidth="1"/>
    <col min="3056" max="3056" width="7.83203125" style="1" customWidth="1"/>
    <col min="3057" max="3305" width="9.1640625" style="1"/>
    <col min="3306" max="3306" width="4.5" style="1" customWidth="1"/>
    <col min="3307" max="3307" width="39.5" style="1" customWidth="1"/>
    <col min="3308" max="3311" width="12.33203125" style="1" customWidth="1"/>
    <col min="3312" max="3312" width="7.83203125" style="1" customWidth="1"/>
    <col min="3313" max="3561" width="9.1640625" style="1"/>
    <col min="3562" max="3562" width="4.5" style="1" customWidth="1"/>
    <col min="3563" max="3563" width="39.5" style="1" customWidth="1"/>
    <col min="3564" max="3567" width="12.33203125" style="1" customWidth="1"/>
    <col min="3568" max="3568" width="7.83203125" style="1" customWidth="1"/>
    <col min="3569" max="3817" width="9.1640625" style="1"/>
    <col min="3818" max="3818" width="4.5" style="1" customWidth="1"/>
    <col min="3819" max="3819" width="39.5" style="1" customWidth="1"/>
    <col min="3820" max="3823" width="12.33203125" style="1" customWidth="1"/>
    <col min="3824" max="3824" width="7.83203125" style="1" customWidth="1"/>
    <col min="3825" max="4073" width="9.1640625" style="1"/>
    <col min="4074" max="4074" width="4.5" style="1" customWidth="1"/>
    <col min="4075" max="4075" width="39.5" style="1" customWidth="1"/>
    <col min="4076" max="4079" width="12.33203125" style="1" customWidth="1"/>
    <col min="4080" max="4080" width="7.83203125" style="1" customWidth="1"/>
    <col min="4081" max="4329" width="9.1640625" style="1"/>
    <col min="4330" max="4330" width="4.5" style="1" customWidth="1"/>
    <col min="4331" max="4331" width="39.5" style="1" customWidth="1"/>
    <col min="4332" max="4335" width="12.33203125" style="1" customWidth="1"/>
    <col min="4336" max="4336" width="7.83203125" style="1" customWidth="1"/>
    <col min="4337" max="4585" width="9.1640625" style="1"/>
    <col min="4586" max="4586" width="4.5" style="1" customWidth="1"/>
    <col min="4587" max="4587" width="39.5" style="1" customWidth="1"/>
    <col min="4588" max="4591" width="12.33203125" style="1" customWidth="1"/>
    <col min="4592" max="4592" width="7.83203125" style="1" customWidth="1"/>
    <col min="4593" max="4841" width="9.1640625" style="1"/>
    <col min="4842" max="4842" width="4.5" style="1" customWidth="1"/>
    <col min="4843" max="4843" width="39.5" style="1" customWidth="1"/>
    <col min="4844" max="4847" width="12.33203125" style="1" customWidth="1"/>
    <col min="4848" max="4848" width="7.83203125" style="1" customWidth="1"/>
    <col min="4849" max="5097" width="9.1640625" style="1"/>
    <col min="5098" max="5098" width="4.5" style="1" customWidth="1"/>
    <col min="5099" max="5099" width="39.5" style="1" customWidth="1"/>
    <col min="5100" max="5103" width="12.33203125" style="1" customWidth="1"/>
    <col min="5104" max="5104" width="7.83203125" style="1" customWidth="1"/>
    <col min="5105" max="5353" width="9.1640625" style="1"/>
    <col min="5354" max="5354" width="4.5" style="1" customWidth="1"/>
    <col min="5355" max="5355" width="39.5" style="1" customWidth="1"/>
    <col min="5356" max="5359" width="12.33203125" style="1" customWidth="1"/>
    <col min="5360" max="5360" width="7.83203125" style="1" customWidth="1"/>
    <col min="5361" max="5609" width="9.1640625" style="1"/>
    <col min="5610" max="5610" width="4.5" style="1" customWidth="1"/>
    <col min="5611" max="5611" width="39.5" style="1" customWidth="1"/>
    <col min="5612" max="5615" width="12.33203125" style="1" customWidth="1"/>
    <col min="5616" max="5616" width="7.83203125" style="1" customWidth="1"/>
    <col min="5617" max="5865" width="9.1640625" style="1"/>
    <col min="5866" max="5866" width="4.5" style="1" customWidth="1"/>
    <col min="5867" max="5867" width="39.5" style="1" customWidth="1"/>
    <col min="5868" max="5871" width="12.33203125" style="1" customWidth="1"/>
    <col min="5872" max="5872" width="7.83203125" style="1" customWidth="1"/>
    <col min="5873" max="6121" width="9.1640625" style="1"/>
    <col min="6122" max="6122" width="4.5" style="1" customWidth="1"/>
    <col min="6123" max="6123" width="39.5" style="1" customWidth="1"/>
    <col min="6124" max="6127" width="12.33203125" style="1" customWidth="1"/>
    <col min="6128" max="6128" width="7.83203125" style="1" customWidth="1"/>
    <col min="6129" max="6377" width="9.1640625" style="1"/>
    <col min="6378" max="6378" width="4.5" style="1" customWidth="1"/>
    <col min="6379" max="6379" width="39.5" style="1" customWidth="1"/>
    <col min="6380" max="6383" width="12.33203125" style="1" customWidth="1"/>
    <col min="6384" max="6384" width="7.83203125" style="1" customWidth="1"/>
    <col min="6385" max="6633" width="9.1640625" style="1"/>
    <col min="6634" max="6634" width="4.5" style="1" customWidth="1"/>
    <col min="6635" max="6635" width="39.5" style="1" customWidth="1"/>
    <col min="6636" max="6639" width="12.33203125" style="1" customWidth="1"/>
    <col min="6640" max="6640" width="7.83203125" style="1" customWidth="1"/>
    <col min="6641" max="6889" width="9.1640625" style="1"/>
    <col min="6890" max="6890" width="4.5" style="1" customWidth="1"/>
    <col min="6891" max="6891" width="39.5" style="1" customWidth="1"/>
    <col min="6892" max="6895" width="12.33203125" style="1" customWidth="1"/>
    <col min="6896" max="6896" width="7.83203125" style="1" customWidth="1"/>
    <col min="6897" max="7145" width="9.1640625" style="1"/>
    <col min="7146" max="7146" width="4.5" style="1" customWidth="1"/>
    <col min="7147" max="7147" width="39.5" style="1" customWidth="1"/>
    <col min="7148" max="7151" width="12.33203125" style="1" customWidth="1"/>
    <col min="7152" max="7152" width="7.83203125" style="1" customWidth="1"/>
    <col min="7153" max="7401" width="9.1640625" style="1"/>
    <col min="7402" max="7402" width="4.5" style="1" customWidth="1"/>
    <col min="7403" max="7403" width="39.5" style="1" customWidth="1"/>
    <col min="7404" max="7407" width="12.33203125" style="1" customWidth="1"/>
    <col min="7408" max="7408" width="7.83203125" style="1" customWidth="1"/>
    <col min="7409" max="7657" width="9.1640625" style="1"/>
    <col min="7658" max="7658" width="4.5" style="1" customWidth="1"/>
    <col min="7659" max="7659" width="39.5" style="1" customWidth="1"/>
    <col min="7660" max="7663" width="12.33203125" style="1" customWidth="1"/>
    <col min="7664" max="7664" width="7.83203125" style="1" customWidth="1"/>
    <col min="7665" max="7913" width="9.1640625" style="1"/>
    <col min="7914" max="7914" width="4.5" style="1" customWidth="1"/>
    <col min="7915" max="7915" width="39.5" style="1" customWidth="1"/>
    <col min="7916" max="7919" width="12.33203125" style="1" customWidth="1"/>
    <col min="7920" max="7920" width="7.83203125" style="1" customWidth="1"/>
    <col min="7921" max="8169" width="9.1640625" style="1"/>
    <col min="8170" max="8170" width="4.5" style="1" customWidth="1"/>
    <col min="8171" max="8171" width="39.5" style="1" customWidth="1"/>
    <col min="8172" max="8175" width="12.33203125" style="1" customWidth="1"/>
    <col min="8176" max="8176" width="7.83203125" style="1" customWidth="1"/>
    <col min="8177" max="8425" width="9.1640625" style="1"/>
    <col min="8426" max="8426" width="4.5" style="1" customWidth="1"/>
    <col min="8427" max="8427" width="39.5" style="1" customWidth="1"/>
    <col min="8428" max="8431" width="12.33203125" style="1" customWidth="1"/>
    <col min="8432" max="8432" width="7.83203125" style="1" customWidth="1"/>
    <col min="8433" max="8681" width="9.1640625" style="1"/>
    <col min="8682" max="8682" width="4.5" style="1" customWidth="1"/>
    <col min="8683" max="8683" width="39.5" style="1" customWidth="1"/>
    <col min="8684" max="8687" width="12.33203125" style="1" customWidth="1"/>
    <col min="8688" max="8688" width="7.83203125" style="1" customWidth="1"/>
    <col min="8689" max="8937" width="9.1640625" style="1"/>
    <col min="8938" max="8938" width="4.5" style="1" customWidth="1"/>
    <col min="8939" max="8939" width="39.5" style="1" customWidth="1"/>
    <col min="8940" max="8943" width="12.33203125" style="1" customWidth="1"/>
    <col min="8944" max="8944" width="7.83203125" style="1" customWidth="1"/>
    <col min="8945" max="9193" width="9.1640625" style="1"/>
    <col min="9194" max="9194" width="4.5" style="1" customWidth="1"/>
    <col min="9195" max="9195" width="39.5" style="1" customWidth="1"/>
    <col min="9196" max="9199" width="12.33203125" style="1" customWidth="1"/>
    <col min="9200" max="9200" width="7.83203125" style="1" customWidth="1"/>
    <col min="9201" max="9449" width="9.1640625" style="1"/>
    <col min="9450" max="9450" width="4.5" style="1" customWidth="1"/>
    <col min="9451" max="9451" width="39.5" style="1" customWidth="1"/>
    <col min="9452" max="9455" width="12.33203125" style="1" customWidth="1"/>
    <col min="9456" max="9456" width="7.83203125" style="1" customWidth="1"/>
    <col min="9457" max="9705" width="9.1640625" style="1"/>
    <col min="9706" max="9706" width="4.5" style="1" customWidth="1"/>
    <col min="9707" max="9707" width="39.5" style="1" customWidth="1"/>
    <col min="9708" max="9711" width="12.33203125" style="1" customWidth="1"/>
    <col min="9712" max="9712" width="7.83203125" style="1" customWidth="1"/>
    <col min="9713" max="9961" width="9.1640625" style="1"/>
    <col min="9962" max="9962" width="4.5" style="1" customWidth="1"/>
    <col min="9963" max="9963" width="39.5" style="1" customWidth="1"/>
    <col min="9964" max="9967" width="12.33203125" style="1" customWidth="1"/>
    <col min="9968" max="9968" width="7.83203125" style="1" customWidth="1"/>
    <col min="9969" max="10217" width="9.1640625" style="1"/>
    <col min="10218" max="10218" width="4.5" style="1" customWidth="1"/>
    <col min="10219" max="10219" width="39.5" style="1" customWidth="1"/>
    <col min="10220" max="10223" width="12.33203125" style="1" customWidth="1"/>
    <col min="10224" max="10224" width="7.83203125" style="1" customWidth="1"/>
    <col min="10225" max="10473" width="9.1640625" style="1"/>
    <col min="10474" max="10474" width="4.5" style="1" customWidth="1"/>
    <col min="10475" max="10475" width="39.5" style="1" customWidth="1"/>
    <col min="10476" max="10479" width="12.33203125" style="1" customWidth="1"/>
    <col min="10480" max="10480" width="7.83203125" style="1" customWidth="1"/>
    <col min="10481" max="10729" width="9.1640625" style="1"/>
    <col min="10730" max="10730" width="4.5" style="1" customWidth="1"/>
    <col min="10731" max="10731" width="39.5" style="1" customWidth="1"/>
    <col min="10732" max="10735" width="12.33203125" style="1" customWidth="1"/>
    <col min="10736" max="10736" width="7.83203125" style="1" customWidth="1"/>
    <col min="10737" max="10985" width="9.1640625" style="1"/>
    <col min="10986" max="10986" width="4.5" style="1" customWidth="1"/>
    <col min="10987" max="10987" width="39.5" style="1" customWidth="1"/>
    <col min="10988" max="10991" width="12.33203125" style="1" customWidth="1"/>
    <col min="10992" max="10992" width="7.83203125" style="1" customWidth="1"/>
    <col min="10993" max="11241" width="9.1640625" style="1"/>
    <col min="11242" max="11242" width="4.5" style="1" customWidth="1"/>
    <col min="11243" max="11243" width="39.5" style="1" customWidth="1"/>
    <col min="11244" max="11247" width="12.33203125" style="1" customWidth="1"/>
    <col min="11248" max="11248" width="7.83203125" style="1" customWidth="1"/>
    <col min="11249" max="11497" width="9.1640625" style="1"/>
    <col min="11498" max="11498" width="4.5" style="1" customWidth="1"/>
    <col min="11499" max="11499" width="39.5" style="1" customWidth="1"/>
    <col min="11500" max="11503" width="12.33203125" style="1" customWidth="1"/>
    <col min="11504" max="11504" width="7.83203125" style="1" customWidth="1"/>
    <col min="11505" max="11753" width="9.1640625" style="1"/>
    <col min="11754" max="11754" width="4.5" style="1" customWidth="1"/>
    <col min="11755" max="11755" width="39.5" style="1" customWidth="1"/>
    <col min="11756" max="11759" width="12.33203125" style="1" customWidth="1"/>
    <col min="11760" max="11760" width="7.83203125" style="1" customWidth="1"/>
    <col min="11761" max="12009" width="9.1640625" style="1"/>
    <col min="12010" max="12010" width="4.5" style="1" customWidth="1"/>
    <col min="12011" max="12011" width="39.5" style="1" customWidth="1"/>
    <col min="12012" max="12015" width="12.33203125" style="1" customWidth="1"/>
    <col min="12016" max="12016" width="7.83203125" style="1" customWidth="1"/>
    <col min="12017" max="12265" width="9.1640625" style="1"/>
    <col min="12266" max="12266" width="4.5" style="1" customWidth="1"/>
    <col min="12267" max="12267" width="39.5" style="1" customWidth="1"/>
    <col min="12268" max="12271" width="12.33203125" style="1" customWidth="1"/>
    <col min="12272" max="12272" width="7.83203125" style="1" customWidth="1"/>
    <col min="12273" max="12521" width="9.1640625" style="1"/>
    <col min="12522" max="12522" width="4.5" style="1" customWidth="1"/>
    <col min="12523" max="12523" width="39.5" style="1" customWidth="1"/>
    <col min="12524" max="12527" width="12.33203125" style="1" customWidth="1"/>
    <col min="12528" max="12528" width="7.83203125" style="1" customWidth="1"/>
    <col min="12529" max="12777" width="9.1640625" style="1"/>
    <col min="12778" max="12778" width="4.5" style="1" customWidth="1"/>
    <col min="12779" max="12779" width="39.5" style="1" customWidth="1"/>
    <col min="12780" max="12783" width="12.33203125" style="1" customWidth="1"/>
    <col min="12784" max="12784" width="7.83203125" style="1" customWidth="1"/>
    <col min="12785" max="13033" width="9.1640625" style="1"/>
    <col min="13034" max="13034" width="4.5" style="1" customWidth="1"/>
    <col min="13035" max="13035" width="39.5" style="1" customWidth="1"/>
    <col min="13036" max="13039" width="12.33203125" style="1" customWidth="1"/>
    <col min="13040" max="13040" width="7.83203125" style="1" customWidth="1"/>
    <col min="13041" max="13289" width="9.1640625" style="1"/>
    <col min="13290" max="13290" width="4.5" style="1" customWidth="1"/>
    <col min="13291" max="13291" width="39.5" style="1" customWidth="1"/>
    <col min="13292" max="13295" width="12.33203125" style="1" customWidth="1"/>
    <col min="13296" max="13296" width="7.83203125" style="1" customWidth="1"/>
    <col min="13297" max="13545" width="9.1640625" style="1"/>
    <col min="13546" max="13546" width="4.5" style="1" customWidth="1"/>
    <col min="13547" max="13547" width="39.5" style="1" customWidth="1"/>
    <col min="13548" max="13551" width="12.33203125" style="1" customWidth="1"/>
    <col min="13552" max="13552" width="7.83203125" style="1" customWidth="1"/>
    <col min="13553" max="13801" width="9.1640625" style="1"/>
    <col min="13802" max="13802" width="4.5" style="1" customWidth="1"/>
    <col min="13803" max="13803" width="39.5" style="1" customWidth="1"/>
    <col min="13804" max="13807" width="12.33203125" style="1" customWidth="1"/>
    <col min="13808" max="13808" width="7.83203125" style="1" customWidth="1"/>
    <col min="13809" max="14057" width="9.1640625" style="1"/>
    <col min="14058" max="14058" width="4.5" style="1" customWidth="1"/>
    <col min="14059" max="14059" width="39.5" style="1" customWidth="1"/>
    <col min="14060" max="14063" width="12.33203125" style="1" customWidth="1"/>
    <col min="14064" max="14064" width="7.83203125" style="1" customWidth="1"/>
    <col min="14065" max="14313" width="9.1640625" style="1"/>
    <col min="14314" max="14314" width="4.5" style="1" customWidth="1"/>
    <col min="14315" max="14315" width="39.5" style="1" customWidth="1"/>
    <col min="14316" max="14319" width="12.33203125" style="1" customWidth="1"/>
    <col min="14320" max="14320" width="7.83203125" style="1" customWidth="1"/>
    <col min="14321" max="14569" width="9.1640625" style="1"/>
    <col min="14570" max="14570" width="4.5" style="1" customWidth="1"/>
    <col min="14571" max="14571" width="39.5" style="1" customWidth="1"/>
    <col min="14572" max="14575" width="12.33203125" style="1" customWidth="1"/>
    <col min="14576" max="14576" width="7.83203125" style="1" customWidth="1"/>
    <col min="14577" max="14825" width="9.1640625" style="1"/>
    <col min="14826" max="14826" width="4.5" style="1" customWidth="1"/>
    <col min="14827" max="14827" width="39.5" style="1" customWidth="1"/>
    <col min="14828" max="14831" width="12.33203125" style="1" customWidth="1"/>
    <col min="14832" max="14832" width="7.83203125" style="1" customWidth="1"/>
    <col min="14833" max="15081" width="9.1640625" style="1"/>
    <col min="15082" max="15082" width="4.5" style="1" customWidth="1"/>
    <col min="15083" max="15083" width="39.5" style="1" customWidth="1"/>
    <col min="15084" max="15087" width="12.33203125" style="1" customWidth="1"/>
    <col min="15088" max="15088" width="7.83203125" style="1" customWidth="1"/>
    <col min="15089" max="15337" width="9.1640625" style="1"/>
    <col min="15338" max="15338" width="4.5" style="1" customWidth="1"/>
    <col min="15339" max="15339" width="39.5" style="1" customWidth="1"/>
    <col min="15340" max="15343" width="12.33203125" style="1" customWidth="1"/>
    <col min="15344" max="15344" width="7.83203125" style="1" customWidth="1"/>
    <col min="15345" max="15593" width="9.1640625" style="1"/>
    <col min="15594" max="15594" width="4.5" style="1" customWidth="1"/>
    <col min="15595" max="15595" width="39.5" style="1" customWidth="1"/>
    <col min="15596" max="15599" width="12.33203125" style="1" customWidth="1"/>
    <col min="15600" max="15600" width="7.83203125" style="1" customWidth="1"/>
    <col min="15601" max="15849" width="9.1640625" style="1"/>
    <col min="15850" max="15850" width="4.5" style="1" customWidth="1"/>
    <col min="15851" max="15851" width="39.5" style="1" customWidth="1"/>
    <col min="15852" max="15855" width="12.33203125" style="1" customWidth="1"/>
    <col min="15856" max="15856" width="7.83203125" style="1" customWidth="1"/>
    <col min="15857" max="16105" width="9.1640625" style="1"/>
    <col min="16106" max="16106" width="4.5" style="1" customWidth="1"/>
    <col min="16107" max="16107" width="39.5" style="1" customWidth="1"/>
    <col min="16108" max="16111" width="12.33203125" style="1" customWidth="1"/>
    <col min="16112" max="16112" width="7.83203125" style="1" customWidth="1"/>
    <col min="16113" max="16372" width="9.1640625" style="1"/>
    <col min="16373" max="16384" width="9.1640625" style="1" customWidth="1"/>
  </cols>
  <sheetData>
    <row r="1" spans="1:11" ht="36" customHeight="1" x14ac:dyDescent="0.2">
      <c r="A1" s="300" t="s">
        <v>236</v>
      </c>
      <c r="B1" s="301"/>
      <c r="H1" s="303" t="s">
        <v>0</v>
      </c>
      <c r="I1" s="303"/>
      <c r="J1" s="303"/>
      <c r="K1" s="303"/>
    </row>
    <row r="2" spans="1:11" ht="26.25" customHeight="1" x14ac:dyDescent="0.2">
      <c r="A2" s="302" t="s">
        <v>4</v>
      </c>
      <c r="B2" s="302"/>
      <c r="C2" s="17"/>
      <c r="H2" s="304" t="s">
        <v>55</v>
      </c>
      <c r="I2" s="304"/>
      <c r="J2" s="304"/>
      <c r="K2" s="304"/>
    </row>
    <row r="3" spans="1:11" s="3" customFormat="1" ht="57" customHeight="1" x14ac:dyDescent="0.2">
      <c r="A3" s="306" t="s">
        <v>190</v>
      </c>
      <c r="B3" s="306"/>
      <c r="C3" s="306"/>
      <c r="D3" s="306"/>
      <c r="E3" s="306"/>
      <c r="F3" s="306"/>
      <c r="G3" s="306"/>
      <c r="H3" s="306"/>
      <c r="I3" s="306"/>
      <c r="J3" s="306"/>
      <c r="K3" s="306"/>
    </row>
    <row r="4" spans="1:11" s="3" customFormat="1" ht="22.5" customHeight="1" x14ac:dyDescent="0.2">
      <c r="A4" s="13"/>
      <c r="B4" s="13"/>
      <c r="C4" s="13"/>
      <c r="D4" s="13"/>
      <c r="E4" s="305"/>
      <c r="F4" s="305"/>
      <c r="G4" s="305"/>
      <c r="H4" s="305"/>
      <c r="I4" s="47"/>
      <c r="J4" s="305" t="s">
        <v>168</v>
      </c>
      <c r="K4" s="305"/>
    </row>
    <row r="5" spans="1:11" s="3" customFormat="1" ht="31.5" customHeight="1" x14ac:dyDescent="0.2">
      <c r="A5" s="307" t="s">
        <v>1</v>
      </c>
      <c r="B5" s="309" t="s">
        <v>6</v>
      </c>
      <c r="C5" s="309" t="s">
        <v>21</v>
      </c>
      <c r="D5" s="309"/>
      <c r="E5" s="309"/>
      <c r="F5" s="308" t="s">
        <v>56</v>
      </c>
      <c r="G5" s="309"/>
      <c r="H5" s="309"/>
      <c r="I5" s="308" t="s">
        <v>231</v>
      </c>
      <c r="J5" s="309"/>
      <c r="K5" s="309"/>
    </row>
    <row r="6" spans="1:11" s="4" customFormat="1" ht="34" x14ac:dyDescent="0.15">
      <c r="A6" s="307"/>
      <c r="B6" s="309"/>
      <c r="C6" s="16" t="s">
        <v>14</v>
      </c>
      <c r="D6" s="16" t="s">
        <v>15</v>
      </c>
      <c r="E6" s="16" t="s">
        <v>16</v>
      </c>
      <c r="F6" s="16" t="s">
        <v>14</v>
      </c>
      <c r="G6" s="16" t="s">
        <v>15</v>
      </c>
      <c r="H6" s="16" t="s">
        <v>16</v>
      </c>
      <c r="I6" s="16" t="s">
        <v>14</v>
      </c>
      <c r="J6" s="16" t="s">
        <v>15</v>
      </c>
      <c r="K6" s="16" t="s">
        <v>16</v>
      </c>
    </row>
    <row r="7" spans="1:11" s="5" customFormat="1" ht="27.75" customHeight="1" x14ac:dyDescent="0.2">
      <c r="A7" s="23">
        <v>1</v>
      </c>
      <c r="B7" s="18" t="s">
        <v>17</v>
      </c>
      <c r="C7" s="14"/>
      <c r="D7" s="14"/>
      <c r="E7" s="14"/>
      <c r="F7" s="14"/>
      <c r="G7" s="14"/>
      <c r="H7" s="14"/>
      <c r="I7" s="14"/>
      <c r="J7" s="14"/>
      <c r="K7" s="14"/>
    </row>
    <row r="8" spans="1:11" s="6" customFormat="1" ht="27.75" customHeight="1" x14ac:dyDescent="0.2">
      <c r="A8" s="23">
        <f>A7+1</f>
        <v>2</v>
      </c>
      <c r="B8" s="18" t="s">
        <v>18</v>
      </c>
      <c r="C8" s="15"/>
      <c r="D8" s="15"/>
      <c r="E8" s="15"/>
      <c r="F8" s="15"/>
      <c r="G8" s="15"/>
      <c r="H8" s="15"/>
      <c r="I8" s="15"/>
      <c r="J8" s="15"/>
      <c r="K8" s="15"/>
    </row>
    <row r="9" spans="1:11" s="6" customFormat="1" ht="27.75" customHeight="1" x14ac:dyDescent="0.2">
      <c r="A9" s="23">
        <f t="shared" ref="A9:A10" si="0">A8+1</f>
        <v>3</v>
      </c>
      <c r="B9" s="18" t="s">
        <v>19</v>
      </c>
      <c r="C9" s="15"/>
      <c r="D9" s="15"/>
      <c r="E9" s="15"/>
      <c r="F9" s="15"/>
      <c r="G9" s="15"/>
      <c r="H9" s="15"/>
      <c r="I9" s="15"/>
      <c r="J9" s="15"/>
      <c r="K9" s="15"/>
    </row>
    <row r="10" spans="1:11" s="6" customFormat="1" ht="27.75" customHeight="1" x14ac:dyDescent="0.2">
      <c r="A10" s="23">
        <f t="shared" si="0"/>
        <v>4</v>
      </c>
      <c r="B10" s="18" t="s">
        <v>20</v>
      </c>
      <c r="C10" s="15"/>
      <c r="D10" s="15"/>
      <c r="E10" s="15"/>
      <c r="F10" s="15"/>
      <c r="G10" s="15"/>
      <c r="H10" s="15"/>
      <c r="I10" s="15"/>
      <c r="J10" s="15"/>
      <c r="K10" s="15"/>
    </row>
    <row r="11" spans="1:11" s="8" customFormat="1" ht="14" x14ac:dyDescent="0.15">
      <c r="A11" s="312" t="s">
        <v>191</v>
      </c>
      <c r="B11" s="312"/>
      <c r="C11" s="11"/>
      <c r="D11" s="11"/>
      <c r="E11" s="11"/>
    </row>
    <row r="12" spans="1:11" s="8" customFormat="1" ht="49.5" customHeight="1" x14ac:dyDescent="0.15">
      <c r="A12" s="313" t="s">
        <v>192</v>
      </c>
      <c r="B12" s="313"/>
      <c r="C12" s="313"/>
      <c r="D12" s="313"/>
      <c r="E12" s="313"/>
      <c r="F12" s="313"/>
      <c r="G12" s="313"/>
      <c r="H12" s="313"/>
      <c r="I12" s="313"/>
      <c r="J12" s="313"/>
      <c r="K12" s="313"/>
    </row>
    <row r="13" spans="1:11" s="28" customFormat="1" ht="29" customHeight="1" x14ac:dyDescent="0.2">
      <c r="A13" s="310" t="s">
        <v>8</v>
      </c>
      <c r="B13" s="310"/>
      <c r="C13" s="29"/>
      <c r="F13" s="31"/>
      <c r="G13" s="250" t="s">
        <v>9</v>
      </c>
      <c r="H13" s="250"/>
      <c r="K13" s="48"/>
    </row>
    <row r="14" spans="1:11" s="28" customFormat="1" ht="25.5" customHeight="1" x14ac:dyDescent="0.2">
      <c r="A14" s="311" t="s">
        <v>33</v>
      </c>
      <c r="B14" s="311"/>
      <c r="F14" s="33"/>
      <c r="G14" s="251" t="s">
        <v>34</v>
      </c>
      <c r="H14" s="251"/>
      <c r="K14" s="48"/>
    </row>
    <row r="15" spans="1:11" s="8" customFormat="1" ht="14" x14ac:dyDescent="0.15">
      <c r="A15" s="9"/>
      <c r="B15" s="10"/>
      <c r="C15" s="11"/>
      <c r="D15" s="11"/>
      <c r="E15" s="11"/>
    </row>
    <row r="16" spans="1:11" s="8" customFormat="1" ht="14" x14ac:dyDescent="0.15">
      <c r="A16" s="9"/>
      <c r="B16" s="10"/>
      <c r="C16" s="11"/>
      <c r="D16" s="11"/>
      <c r="E16" s="11"/>
    </row>
    <row r="17" spans="1:5" s="8" customFormat="1" ht="14" x14ac:dyDescent="0.15">
      <c r="A17" s="9"/>
      <c r="B17" s="10"/>
      <c r="C17" s="11"/>
      <c r="D17" s="11"/>
      <c r="E17" s="11"/>
    </row>
    <row r="18" spans="1:5" s="8" customFormat="1" ht="14" x14ac:dyDescent="0.15">
      <c r="A18" s="9"/>
      <c r="B18" s="10"/>
      <c r="C18" s="11"/>
      <c r="D18" s="11"/>
      <c r="E18" s="11"/>
    </row>
    <row r="19" spans="1:5" s="8" customFormat="1" ht="14" x14ac:dyDescent="0.15">
      <c r="A19" s="9"/>
      <c r="B19" s="10"/>
      <c r="C19" s="11"/>
      <c r="D19" s="11"/>
      <c r="E19" s="11"/>
    </row>
    <row r="20" spans="1:5" s="8" customFormat="1" ht="14" x14ac:dyDescent="0.15">
      <c r="A20" s="9"/>
      <c r="B20" s="10"/>
      <c r="C20" s="11"/>
      <c r="D20" s="11"/>
      <c r="E20" s="11"/>
    </row>
    <row r="21" spans="1:5" s="8" customFormat="1" ht="14" x14ac:dyDescent="0.15">
      <c r="A21" s="9"/>
      <c r="B21" s="10"/>
      <c r="C21" s="11"/>
      <c r="D21" s="11"/>
      <c r="E21" s="11"/>
    </row>
    <row r="22" spans="1:5" s="8" customFormat="1" ht="14" x14ac:dyDescent="0.15">
      <c r="A22" s="9"/>
      <c r="B22" s="10"/>
      <c r="C22" s="11"/>
      <c r="D22" s="11"/>
      <c r="E22" s="11"/>
    </row>
    <row r="23" spans="1:5" s="8" customFormat="1" ht="14" x14ac:dyDescent="0.15">
      <c r="A23" s="9"/>
      <c r="B23" s="10"/>
      <c r="C23" s="11"/>
      <c r="D23" s="11"/>
      <c r="E23" s="11"/>
    </row>
    <row r="24" spans="1:5" s="8" customFormat="1" ht="14" x14ac:dyDescent="0.15">
      <c r="A24" s="9"/>
      <c r="B24" s="10"/>
      <c r="C24" s="11"/>
      <c r="D24" s="11"/>
      <c r="E24" s="11"/>
    </row>
    <row r="25" spans="1:5" s="8" customFormat="1" ht="14" x14ac:dyDescent="0.15">
      <c r="A25" s="9"/>
      <c r="B25" s="10"/>
      <c r="C25" s="11"/>
      <c r="D25" s="11"/>
      <c r="E25" s="11"/>
    </row>
    <row r="26" spans="1:5" s="8" customFormat="1" ht="14" x14ac:dyDescent="0.15">
      <c r="A26" s="9"/>
      <c r="B26" s="10"/>
      <c r="C26" s="11"/>
      <c r="D26" s="11"/>
      <c r="E26" s="11"/>
    </row>
    <row r="27" spans="1:5" s="8" customFormat="1" ht="14" x14ac:dyDescent="0.15">
      <c r="A27" s="9"/>
      <c r="B27" s="10"/>
      <c r="C27" s="11"/>
      <c r="D27" s="11"/>
      <c r="E27" s="11"/>
    </row>
    <row r="28" spans="1:5" s="8" customFormat="1" ht="14" x14ac:dyDescent="0.15">
      <c r="A28" s="9"/>
      <c r="B28" s="10"/>
      <c r="C28" s="11"/>
      <c r="D28" s="11"/>
      <c r="E28" s="11"/>
    </row>
    <row r="29" spans="1:5" s="8" customFormat="1" ht="14" x14ac:dyDescent="0.15">
      <c r="A29" s="9"/>
      <c r="B29" s="10"/>
      <c r="C29" s="11"/>
      <c r="D29" s="11"/>
      <c r="E29" s="11"/>
    </row>
    <row r="30" spans="1:5" s="8" customFormat="1" ht="14" x14ac:dyDescent="0.15">
      <c r="A30" s="9"/>
      <c r="B30" s="10"/>
      <c r="C30" s="11"/>
      <c r="D30" s="11"/>
      <c r="E30" s="11"/>
    </row>
    <row r="31" spans="1:5" s="8" customFormat="1" ht="14" x14ac:dyDescent="0.15">
      <c r="A31" s="9"/>
      <c r="B31" s="10"/>
      <c r="C31" s="11"/>
      <c r="D31" s="11"/>
      <c r="E31" s="11"/>
    </row>
    <row r="32" spans="1:5" s="8" customFormat="1" ht="14" x14ac:dyDescent="0.15">
      <c r="A32" s="9"/>
      <c r="B32" s="10"/>
      <c r="C32" s="11"/>
      <c r="D32" s="11"/>
      <c r="E32" s="11"/>
    </row>
    <row r="33" spans="1:5" s="8" customFormat="1" ht="14" x14ac:dyDescent="0.15">
      <c r="A33" s="9"/>
      <c r="B33" s="10"/>
      <c r="C33" s="11"/>
      <c r="D33" s="11"/>
      <c r="E33" s="11"/>
    </row>
    <row r="34" spans="1:5" s="8" customFormat="1" ht="14" x14ac:dyDescent="0.15">
      <c r="A34" s="9"/>
      <c r="B34" s="10"/>
      <c r="C34" s="11"/>
      <c r="D34" s="11"/>
      <c r="E34" s="11"/>
    </row>
    <row r="35" spans="1:5" s="8" customFormat="1" ht="14" x14ac:dyDescent="0.15">
      <c r="A35" s="9"/>
      <c r="B35" s="10"/>
      <c r="C35" s="11"/>
      <c r="D35" s="11"/>
      <c r="E35" s="11"/>
    </row>
    <row r="36" spans="1:5" s="8" customFormat="1" ht="14" x14ac:dyDescent="0.15">
      <c r="A36" s="9"/>
      <c r="B36" s="10"/>
      <c r="C36" s="11"/>
      <c r="D36" s="11"/>
      <c r="E36" s="11"/>
    </row>
    <row r="37" spans="1:5" s="8" customFormat="1" ht="14" x14ac:dyDescent="0.15">
      <c r="A37" s="9"/>
      <c r="B37" s="10"/>
      <c r="C37" s="11"/>
      <c r="D37" s="11"/>
      <c r="E37" s="11"/>
    </row>
    <row r="38" spans="1:5" s="8" customFormat="1" ht="14" x14ac:dyDescent="0.15">
      <c r="A38" s="9"/>
      <c r="B38" s="10"/>
      <c r="C38" s="11"/>
      <c r="D38" s="11"/>
      <c r="E38" s="11"/>
    </row>
    <row r="39" spans="1:5" s="8" customFormat="1" x14ac:dyDescent="0.2">
      <c r="A39" s="9"/>
      <c r="B39" s="10"/>
      <c r="C39" s="1"/>
      <c r="D39" s="1"/>
      <c r="E39" s="1"/>
    </row>
    <row r="40" spans="1:5" s="8" customFormat="1" x14ac:dyDescent="0.2">
      <c r="A40" s="9"/>
      <c r="B40" s="10"/>
      <c r="C40" s="1"/>
      <c r="D40" s="1"/>
      <c r="E40" s="1"/>
    </row>
    <row r="41" spans="1:5" s="8" customFormat="1" x14ac:dyDescent="0.2">
      <c r="A41" s="9"/>
      <c r="B41" s="10"/>
      <c r="C41" s="1"/>
      <c r="D41" s="1"/>
      <c r="E41" s="1"/>
    </row>
    <row r="42" spans="1:5" s="8" customFormat="1" x14ac:dyDescent="0.2">
      <c r="A42" s="9"/>
      <c r="B42" s="10"/>
      <c r="C42" s="1"/>
      <c r="D42" s="1"/>
      <c r="E42" s="1"/>
    </row>
    <row r="43" spans="1:5" s="8" customFormat="1" x14ac:dyDescent="0.2">
      <c r="A43" s="9"/>
      <c r="B43" s="10"/>
      <c r="C43" s="1"/>
      <c r="D43" s="1"/>
      <c r="E43" s="1"/>
    </row>
    <row r="44" spans="1:5" s="8" customFormat="1" x14ac:dyDescent="0.2">
      <c r="A44" s="9"/>
      <c r="B44" s="10"/>
      <c r="C44" s="1"/>
      <c r="D44" s="1"/>
      <c r="E44" s="1"/>
    </row>
    <row r="45" spans="1:5" s="8" customFormat="1" x14ac:dyDescent="0.2">
      <c r="A45" s="9"/>
      <c r="B45" s="10"/>
      <c r="C45" s="1"/>
      <c r="D45" s="1"/>
      <c r="E45" s="1"/>
    </row>
    <row r="46" spans="1:5" s="8" customFormat="1" x14ac:dyDescent="0.2">
      <c r="A46" s="9"/>
      <c r="B46" s="10"/>
      <c r="C46" s="1"/>
      <c r="D46" s="1"/>
      <c r="E46" s="1"/>
    </row>
    <row r="47" spans="1:5" s="8" customFormat="1" x14ac:dyDescent="0.2">
      <c r="A47" s="9"/>
      <c r="B47" s="10"/>
      <c r="C47" s="1"/>
      <c r="D47" s="1"/>
      <c r="E47" s="1"/>
    </row>
    <row r="48" spans="1:5" s="8" customFormat="1" x14ac:dyDescent="0.2">
      <c r="A48" s="9"/>
      <c r="B48" s="10"/>
      <c r="C48" s="1"/>
      <c r="D48" s="1"/>
      <c r="E48" s="1"/>
    </row>
    <row r="49" spans="1:6" s="8" customFormat="1" x14ac:dyDescent="0.2">
      <c r="A49" s="9"/>
      <c r="B49" s="10"/>
      <c r="C49" s="1"/>
      <c r="D49" s="1"/>
      <c r="E49" s="1"/>
    </row>
    <row r="50" spans="1:6" s="8" customFormat="1" x14ac:dyDescent="0.2">
      <c r="A50" s="9"/>
      <c r="B50" s="10"/>
      <c r="C50" s="1"/>
      <c r="D50" s="1"/>
      <c r="E50" s="1"/>
    </row>
    <row r="51" spans="1:6" s="8" customFormat="1" x14ac:dyDescent="0.2">
      <c r="A51" s="9"/>
      <c r="B51" s="10"/>
      <c r="C51" s="1"/>
      <c r="D51" s="1"/>
      <c r="E51" s="1"/>
    </row>
    <row r="52" spans="1:6" s="8" customFormat="1" x14ac:dyDescent="0.2">
      <c r="A52" s="9"/>
      <c r="B52" s="10"/>
      <c r="C52" s="1"/>
      <c r="D52" s="1"/>
      <c r="E52" s="1"/>
    </row>
    <row r="53" spans="1:6" s="8" customFormat="1" x14ac:dyDescent="0.2">
      <c r="A53" s="9"/>
      <c r="B53" s="10"/>
      <c r="C53" s="1"/>
      <c r="D53" s="1"/>
      <c r="E53" s="1"/>
    </row>
    <row r="54" spans="1:6" s="8" customFormat="1" x14ac:dyDescent="0.2">
      <c r="A54" s="9"/>
      <c r="B54" s="10"/>
      <c r="C54" s="1"/>
      <c r="D54" s="1"/>
      <c r="E54" s="1"/>
    </row>
    <row r="55" spans="1:6" s="8" customFormat="1" x14ac:dyDescent="0.2">
      <c r="A55" s="9"/>
      <c r="B55" s="10"/>
      <c r="C55" s="1"/>
      <c r="D55" s="1"/>
      <c r="E55" s="1"/>
    </row>
    <row r="56" spans="1:6" s="8" customFormat="1" x14ac:dyDescent="0.2">
      <c r="A56" s="9"/>
      <c r="B56" s="10"/>
      <c r="C56" s="1"/>
      <c r="D56" s="1"/>
      <c r="E56" s="1"/>
    </row>
    <row r="57" spans="1:6" s="8" customFormat="1" x14ac:dyDescent="0.2">
      <c r="A57" s="9"/>
      <c r="B57" s="10"/>
      <c r="C57" s="1"/>
      <c r="D57" s="1"/>
      <c r="E57" s="1"/>
    </row>
    <row r="58" spans="1:6" s="8" customFormat="1" x14ac:dyDescent="0.2">
      <c r="A58" s="9"/>
      <c r="B58" s="10"/>
      <c r="C58" s="1"/>
      <c r="D58" s="1"/>
      <c r="E58" s="1"/>
    </row>
    <row r="59" spans="1:6" s="8" customFormat="1" x14ac:dyDescent="0.2">
      <c r="A59" s="9"/>
      <c r="B59" s="10"/>
      <c r="C59" s="1"/>
      <c r="D59" s="1"/>
      <c r="E59" s="1"/>
    </row>
    <row r="60" spans="1:6" s="8" customFormat="1" x14ac:dyDescent="0.2">
      <c r="A60" s="9"/>
      <c r="B60" s="10"/>
      <c r="C60" s="1"/>
      <c r="D60" s="1"/>
      <c r="E60" s="1"/>
    </row>
    <row r="61" spans="1:6" s="8" customFormat="1" x14ac:dyDescent="0.2">
      <c r="A61" s="9"/>
      <c r="B61" s="10"/>
      <c r="C61" s="1"/>
      <c r="D61" s="1"/>
      <c r="E61" s="1"/>
    </row>
    <row r="62" spans="1:6" s="8" customFormat="1" x14ac:dyDescent="0.2">
      <c r="A62" s="9"/>
      <c r="B62" s="10"/>
      <c r="C62" s="1"/>
      <c r="D62" s="1"/>
      <c r="E62" s="1"/>
    </row>
    <row r="63" spans="1:6" s="8" customFormat="1" x14ac:dyDescent="0.2">
      <c r="A63" s="9"/>
      <c r="B63" s="10"/>
      <c r="C63" s="1"/>
      <c r="D63" s="1"/>
      <c r="E63" s="1"/>
    </row>
    <row r="64" spans="1:6" s="8" customFormat="1" x14ac:dyDescent="0.2">
      <c r="A64" s="9"/>
      <c r="B64" s="10"/>
      <c r="C64" s="1"/>
      <c r="D64" s="1"/>
      <c r="E64" s="1"/>
      <c r="F64" s="1"/>
    </row>
    <row r="65" spans="1:6" s="8" customFormat="1" x14ac:dyDescent="0.2">
      <c r="A65" s="9"/>
      <c r="B65" s="10"/>
      <c r="C65" s="1"/>
      <c r="D65" s="1"/>
      <c r="E65" s="1"/>
      <c r="F65" s="1"/>
    </row>
    <row r="66" spans="1:6" s="8" customFormat="1" x14ac:dyDescent="0.2">
      <c r="A66" s="9"/>
      <c r="B66" s="10"/>
      <c r="C66" s="1"/>
      <c r="D66" s="1"/>
      <c r="E66" s="1"/>
      <c r="F66" s="1"/>
    </row>
    <row r="67" spans="1:6" s="8" customFormat="1" x14ac:dyDescent="0.2">
      <c r="A67" s="9"/>
      <c r="B67" s="10"/>
      <c r="C67" s="1"/>
      <c r="D67" s="1"/>
      <c r="E67" s="1"/>
      <c r="F67" s="1"/>
    </row>
    <row r="68" spans="1:6" s="8" customFormat="1" x14ac:dyDescent="0.2">
      <c r="A68" s="9"/>
      <c r="B68" s="10"/>
      <c r="C68" s="1"/>
      <c r="D68" s="1"/>
      <c r="E68" s="1"/>
      <c r="F68" s="1"/>
    </row>
    <row r="69" spans="1:6" s="8" customFormat="1" x14ac:dyDescent="0.2">
      <c r="A69" s="9"/>
      <c r="B69" s="10"/>
      <c r="C69" s="1"/>
      <c r="D69" s="1"/>
      <c r="E69" s="1"/>
      <c r="F69" s="1"/>
    </row>
    <row r="70" spans="1:6" s="8" customFormat="1" x14ac:dyDescent="0.2">
      <c r="A70" s="9"/>
      <c r="B70" s="10"/>
      <c r="C70" s="1"/>
      <c r="D70" s="1"/>
      <c r="E70" s="1"/>
      <c r="F70" s="1"/>
    </row>
  </sheetData>
  <mergeCells count="18">
    <mergeCell ref="A5:A6"/>
    <mergeCell ref="J4:K4"/>
    <mergeCell ref="I5:K5"/>
    <mergeCell ref="G13:H13"/>
    <mergeCell ref="G14:H14"/>
    <mergeCell ref="F5:H5"/>
    <mergeCell ref="A13:B13"/>
    <mergeCell ref="A14:B14"/>
    <mergeCell ref="C5:E5"/>
    <mergeCell ref="B5:B6"/>
    <mergeCell ref="A11:B11"/>
    <mergeCell ref="A12:K12"/>
    <mergeCell ref="A1:B1"/>
    <mergeCell ref="A2:B2"/>
    <mergeCell ref="H1:K1"/>
    <mergeCell ref="H2:K2"/>
    <mergeCell ref="E4:H4"/>
    <mergeCell ref="A3:K3"/>
  </mergeCells>
  <printOptions horizontalCentered="1"/>
  <pageMargins left="0.11811023622047245" right="0" top="0.35433070866141736" bottom="0.35433070866141736" header="0.31496062992125984" footer="0.31496062992125984"/>
  <pageSetup paperSize="9" scale="96" fitToHeight="0" orientation="landscape" r:id="rId1"/>
  <headerFooter differentFirst="1">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pageSetUpPr fitToPage="1"/>
  </sheetPr>
  <dimension ref="A1:H16"/>
  <sheetViews>
    <sheetView zoomScaleNormal="100" zoomScaleSheetLayoutView="115" workbookViewId="0">
      <selection activeCell="I1" sqref="I1:R1048576"/>
    </sheetView>
  </sheetViews>
  <sheetFormatPr baseColWidth="10" defaultColWidth="9.1640625" defaultRowHeight="14" x14ac:dyDescent="0.2"/>
  <cols>
    <col min="1" max="1" width="49.5" style="139" customWidth="1"/>
    <col min="2" max="6" width="14.83203125" style="139" customWidth="1"/>
    <col min="7" max="7" width="14.83203125" style="149" customWidth="1"/>
    <col min="8" max="8" width="7.5" style="139" customWidth="1"/>
    <col min="9" max="16384" width="9.1640625" style="139"/>
  </cols>
  <sheetData>
    <row r="1" spans="1:8" ht="38.25" customHeight="1" x14ac:dyDescent="0.2">
      <c r="A1" s="210" t="s">
        <v>236</v>
      </c>
      <c r="B1" s="57"/>
      <c r="E1" s="303" t="s">
        <v>0</v>
      </c>
      <c r="F1" s="303"/>
      <c r="G1" s="303"/>
    </row>
    <row r="2" spans="1:8" ht="15.75" customHeight="1" x14ac:dyDescent="0.2">
      <c r="A2" s="22" t="s">
        <v>4</v>
      </c>
      <c r="B2" s="150"/>
      <c r="E2" s="304" t="s">
        <v>55</v>
      </c>
      <c r="F2" s="304"/>
      <c r="G2" s="304"/>
    </row>
    <row r="3" spans="1:8" ht="42" customHeight="1" x14ac:dyDescent="0.2">
      <c r="A3" s="314" t="s">
        <v>211</v>
      </c>
      <c r="B3" s="314"/>
      <c r="C3" s="314"/>
      <c r="D3" s="314"/>
      <c r="E3" s="314"/>
      <c r="F3" s="314"/>
      <c r="G3" s="314"/>
    </row>
    <row r="4" spans="1:8" ht="18" customHeight="1" x14ac:dyDescent="0.2">
      <c r="A4" s="315"/>
      <c r="B4" s="315"/>
      <c r="C4" s="315"/>
      <c r="D4" s="315"/>
      <c r="G4" s="168" t="s">
        <v>210</v>
      </c>
    </row>
    <row r="5" spans="1:8" ht="36.75" customHeight="1" x14ac:dyDescent="0.2">
      <c r="A5" s="299" t="s">
        <v>42</v>
      </c>
      <c r="B5" s="316" t="s">
        <v>212</v>
      </c>
      <c r="C5" s="316"/>
      <c r="D5" s="316"/>
      <c r="E5" s="317" t="s">
        <v>232</v>
      </c>
      <c r="F5" s="317"/>
      <c r="G5" s="317"/>
    </row>
    <row r="6" spans="1:8" ht="45.75" customHeight="1" x14ac:dyDescent="0.2">
      <c r="A6" s="299"/>
      <c r="B6" s="94" t="s">
        <v>74</v>
      </c>
      <c r="C6" s="140" t="s">
        <v>24</v>
      </c>
      <c r="D6" s="140" t="s">
        <v>140</v>
      </c>
      <c r="E6" s="94" t="s">
        <v>74</v>
      </c>
      <c r="F6" s="140" t="s">
        <v>24</v>
      </c>
      <c r="G6" s="140" t="s">
        <v>140</v>
      </c>
    </row>
    <row r="7" spans="1:8" ht="42" customHeight="1" x14ac:dyDescent="0.2">
      <c r="A7" s="141" t="s">
        <v>206</v>
      </c>
      <c r="B7" s="142"/>
      <c r="C7" s="143"/>
      <c r="D7" s="143"/>
      <c r="E7" s="144"/>
      <c r="F7" s="145"/>
      <c r="G7" s="145"/>
    </row>
    <row r="8" spans="1:8" ht="42" customHeight="1" x14ac:dyDescent="0.2">
      <c r="A8" s="146" t="s">
        <v>207</v>
      </c>
      <c r="B8" s="142"/>
      <c r="C8" s="143"/>
      <c r="D8" s="143"/>
      <c r="E8" s="144"/>
      <c r="F8" s="145"/>
      <c r="G8" s="145"/>
    </row>
    <row r="9" spans="1:8" ht="66.75" customHeight="1" x14ac:dyDescent="0.2">
      <c r="A9" s="147" t="s">
        <v>208</v>
      </c>
      <c r="B9" s="144"/>
      <c r="C9" s="145"/>
      <c r="D9" s="145"/>
      <c r="E9" s="144"/>
      <c r="F9" s="145"/>
      <c r="G9" s="145"/>
    </row>
    <row r="10" spans="1:8" ht="71.25" customHeight="1" x14ac:dyDescent="0.2">
      <c r="A10" s="147" t="s">
        <v>209</v>
      </c>
      <c r="B10" s="142"/>
      <c r="C10" s="143"/>
      <c r="D10" s="143"/>
      <c r="E10" s="144"/>
      <c r="F10" s="145"/>
      <c r="G10" s="145"/>
    </row>
    <row r="11" spans="1:8" s="59" customFormat="1" ht="29" customHeight="1" x14ac:dyDescent="0.2">
      <c r="A11" s="35" t="s">
        <v>8</v>
      </c>
      <c r="B11" s="35"/>
      <c r="C11" s="30"/>
      <c r="D11" s="35"/>
      <c r="E11" s="31" t="s">
        <v>9</v>
      </c>
      <c r="F11" s="31"/>
      <c r="G11" s="31"/>
      <c r="H11" s="31"/>
    </row>
    <row r="12" spans="1:8" s="59" customFormat="1" ht="25.5" customHeight="1" x14ac:dyDescent="0.2">
      <c r="A12" s="101" t="s">
        <v>33</v>
      </c>
      <c r="B12" s="101"/>
      <c r="C12" s="102"/>
      <c r="D12" s="101"/>
      <c r="E12" s="84" t="s">
        <v>34</v>
      </c>
      <c r="F12" s="84"/>
      <c r="G12" s="84"/>
      <c r="H12" s="84"/>
    </row>
    <row r="13" spans="1:8" x14ac:dyDescent="0.2">
      <c r="A13" s="148"/>
      <c r="B13" s="148"/>
      <c r="C13" s="148"/>
      <c r="D13" s="148"/>
      <c r="E13" s="148"/>
      <c r="F13" s="148"/>
    </row>
    <row r="14" spans="1:8" x14ac:dyDescent="0.2">
      <c r="A14" s="148"/>
      <c r="B14" s="148"/>
      <c r="C14" s="148"/>
      <c r="D14" s="148"/>
      <c r="E14" s="148"/>
      <c r="F14" s="148"/>
    </row>
    <row r="15" spans="1:8" x14ac:dyDescent="0.2">
      <c r="A15" s="148"/>
      <c r="B15" s="148"/>
      <c r="C15" s="148"/>
      <c r="D15" s="148"/>
      <c r="E15" s="148"/>
      <c r="F15" s="148"/>
    </row>
    <row r="16" spans="1:8" x14ac:dyDescent="0.2">
      <c r="A16" s="148"/>
      <c r="B16" s="148"/>
      <c r="C16" s="148"/>
      <c r="D16" s="148"/>
      <c r="E16" s="148"/>
      <c r="F16" s="148"/>
    </row>
  </sheetData>
  <mergeCells count="7">
    <mergeCell ref="E1:G1"/>
    <mergeCell ref="E2:G2"/>
    <mergeCell ref="A3:G3"/>
    <mergeCell ref="A4:D4"/>
    <mergeCell ref="A5:A6"/>
    <mergeCell ref="B5:D5"/>
    <mergeCell ref="E5:G5"/>
  </mergeCells>
  <dataValidations count="1">
    <dataValidation type="whole" operator="greaterThanOrEqual" allowBlank="1" showInputMessage="1" showErrorMessage="1" errorTitle="Thông báo" error="Chỉ nhập số liệu dạng số" sqref="E7:E10 B7:B10" xr:uid="{00000000-0002-0000-0600-000000000000}">
      <formula1>0</formula1>
    </dataValidation>
  </dataValidations>
  <printOptions horizontalCentered="1"/>
  <pageMargins left="0.35" right="0.31" top="0.49" bottom="0.49" header="0.31496062992126" footer="0.31496062992126"/>
  <pageSetup paperSize="9" scale="93"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pageSetUpPr fitToPage="1"/>
  </sheetPr>
  <dimension ref="A1:G45"/>
  <sheetViews>
    <sheetView zoomScaleNormal="100" zoomScaleSheetLayoutView="85" workbookViewId="0">
      <selection activeCell="I1" sqref="I1:Q1048576"/>
    </sheetView>
  </sheetViews>
  <sheetFormatPr baseColWidth="10" defaultColWidth="9.1640625" defaultRowHeight="16" x14ac:dyDescent="0.2"/>
  <cols>
    <col min="1" max="1" width="41.5" style="59" customWidth="1"/>
    <col min="2" max="2" width="15.33203125" style="59" customWidth="1"/>
    <col min="3" max="4" width="17.5" style="59" customWidth="1"/>
    <col min="5" max="5" width="15.33203125" style="59" customWidth="1"/>
    <col min="6" max="7" width="17.5" style="59" customWidth="1"/>
    <col min="8" max="16384" width="9.1640625" style="59"/>
  </cols>
  <sheetData>
    <row r="1" spans="1:7" s="171" customFormat="1" ht="34.5" customHeight="1" x14ac:dyDescent="0.2">
      <c r="A1" s="289" t="s">
        <v>235</v>
      </c>
      <c r="B1" s="289"/>
      <c r="C1" s="322"/>
      <c r="D1" s="322"/>
      <c r="E1" s="287" t="s">
        <v>0</v>
      </c>
      <c r="F1" s="287"/>
      <c r="G1" s="287"/>
    </row>
    <row r="2" spans="1:7" s="171" customFormat="1" ht="12.75" customHeight="1" x14ac:dyDescent="0.2">
      <c r="A2" s="323" t="s">
        <v>4</v>
      </c>
      <c r="B2" s="323"/>
      <c r="C2" s="288"/>
      <c r="D2" s="288"/>
      <c r="E2" s="288" t="s">
        <v>241</v>
      </c>
      <c r="F2" s="288"/>
      <c r="G2" s="288"/>
    </row>
    <row r="3" spans="1:7" s="171" customFormat="1" ht="22.5" customHeight="1" x14ac:dyDescent="0.2">
      <c r="A3" s="289" t="s">
        <v>95</v>
      </c>
      <c r="B3" s="289"/>
      <c r="C3" s="289"/>
      <c r="D3" s="289"/>
      <c r="E3" s="289"/>
      <c r="F3" s="289"/>
      <c r="G3" s="289"/>
    </row>
    <row r="4" spans="1:7" s="171" customFormat="1" x14ac:dyDescent="0.2">
      <c r="A4" s="318"/>
      <c r="B4" s="318"/>
      <c r="C4" s="318"/>
      <c r="D4" s="318"/>
      <c r="E4" s="318"/>
      <c r="F4" s="318"/>
      <c r="G4" s="318"/>
    </row>
    <row r="5" spans="1:7" s="171" customFormat="1" ht="20.25" customHeight="1" x14ac:dyDescent="0.2">
      <c r="A5" s="98"/>
      <c r="B5" s="98"/>
      <c r="C5" s="321"/>
      <c r="D5" s="321"/>
      <c r="E5" s="98"/>
      <c r="F5" s="324" t="s">
        <v>102</v>
      </c>
      <c r="G5" s="324"/>
    </row>
    <row r="6" spans="1:7" s="196" customFormat="1" ht="25.5" customHeight="1" x14ac:dyDescent="0.2">
      <c r="A6" s="319" t="s">
        <v>88</v>
      </c>
      <c r="B6" s="281" t="s">
        <v>193</v>
      </c>
      <c r="C6" s="281"/>
      <c r="D6" s="281"/>
      <c r="E6" s="281" t="s">
        <v>194</v>
      </c>
      <c r="F6" s="281"/>
      <c r="G6" s="281"/>
    </row>
    <row r="7" spans="1:7" s="196" customFormat="1" ht="21.75" customHeight="1" x14ac:dyDescent="0.2">
      <c r="A7" s="320"/>
      <c r="B7" s="176" t="s">
        <v>23</v>
      </c>
      <c r="C7" s="177" t="s">
        <v>96</v>
      </c>
      <c r="D7" s="176" t="s">
        <v>195</v>
      </c>
      <c r="E7" s="176" t="s">
        <v>23</v>
      </c>
      <c r="F7" s="177" t="s">
        <v>96</v>
      </c>
      <c r="G7" s="176" t="s">
        <v>195</v>
      </c>
    </row>
    <row r="8" spans="1:7" s="182" customFormat="1" ht="24.75" customHeight="1" x14ac:dyDescent="0.2">
      <c r="A8" s="197">
        <v>1</v>
      </c>
      <c r="B8" s="197" t="s">
        <v>40</v>
      </c>
      <c r="C8" s="197">
        <v>3</v>
      </c>
      <c r="D8" s="197">
        <v>4</v>
      </c>
      <c r="E8" s="197" t="s">
        <v>97</v>
      </c>
      <c r="F8" s="197">
        <v>6</v>
      </c>
      <c r="G8" s="197">
        <v>7</v>
      </c>
    </row>
    <row r="9" spans="1:7" ht="20" customHeight="1" x14ac:dyDescent="0.2">
      <c r="A9" s="325" t="s">
        <v>230</v>
      </c>
      <c r="B9" s="326"/>
      <c r="C9" s="326"/>
      <c r="D9" s="326"/>
      <c r="E9" s="326"/>
      <c r="F9" s="326"/>
      <c r="G9" s="327"/>
    </row>
    <row r="10" spans="1:7" s="182" customFormat="1" ht="23.25" customHeight="1" x14ac:dyDescent="0.2">
      <c r="A10" s="183" t="s">
        <v>26</v>
      </c>
      <c r="B10" s="202">
        <f>+C10+D10</f>
        <v>0</v>
      </c>
      <c r="C10" s="194"/>
      <c r="D10" s="194"/>
      <c r="E10" s="201">
        <f>+F10+G10</f>
        <v>0</v>
      </c>
      <c r="F10" s="194"/>
      <c r="G10" s="194"/>
    </row>
    <row r="11" spans="1:7" ht="23.25" customHeight="1" x14ac:dyDescent="0.2">
      <c r="A11" s="185" t="s">
        <v>76</v>
      </c>
      <c r="B11" s="203">
        <f t="shared" ref="B11:B23" si="0">+C11+D11</f>
        <v>0</v>
      </c>
      <c r="C11" s="194"/>
      <c r="D11" s="194"/>
      <c r="E11" s="201">
        <f t="shared" ref="E11:E17" si="1">+F11+G11</f>
        <v>0</v>
      </c>
      <c r="F11" s="194"/>
      <c r="G11" s="194"/>
    </row>
    <row r="12" spans="1:7" ht="23.25" customHeight="1" x14ac:dyDescent="0.2">
      <c r="A12" s="185" t="s">
        <v>77</v>
      </c>
      <c r="B12" s="203">
        <f t="shared" si="0"/>
        <v>0</v>
      </c>
      <c r="C12" s="194"/>
      <c r="D12" s="194"/>
      <c r="E12" s="201">
        <f t="shared" si="1"/>
        <v>0</v>
      </c>
      <c r="F12" s="194"/>
      <c r="G12" s="194"/>
    </row>
    <row r="13" spans="1:7" ht="23.25" customHeight="1" x14ac:dyDescent="0.2">
      <c r="A13" s="183" t="s">
        <v>187</v>
      </c>
      <c r="B13" s="202">
        <f t="shared" si="0"/>
        <v>0</v>
      </c>
      <c r="C13" s="201">
        <f>+C14+C15</f>
        <v>0</v>
      </c>
      <c r="D13" s="201">
        <f t="shared" ref="D13" si="2">+D14+D15</f>
        <v>0</v>
      </c>
      <c r="E13" s="201">
        <f t="shared" si="1"/>
        <v>0</v>
      </c>
      <c r="F13" s="201">
        <f t="shared" ref="F13" si="3">+F14+F15</f>
        <v>0</v>
      </c>
      <c r="G13" s="201">
        <f t="shared" ref="G13" si="4">+G14+G15</f>
        <v>0</v>
      </c>
    </row>
    <row r="14" spans="1:7" s="182" customFormat="1" ht="23.25" customHeight="1" x14ac:dyDescent="0.2">
      <c r="A14" s="187" t="s">
        <v>27</v>
      </c>
      <c r="B14" s="204">
        <f t="shared" si="0"/>
        <v>0</v>
      </c>
      <c r="C14" s="195"/>
      <c r="D14" s="195"/>
      <c r="E14" s="205">
        <f t="shared" si="1"/>
        <v>0</v>
      </c>
      <c r="F14" s="195"/>
      <c r="G14" s="195"/>
    </row>
    <row r="15" spans="1:7" s="182" customFormat="1" ht="23.25" customHeight="1" x14ac:dyDescent="0.2">
      <c r="A15" s="187" t="s">
        <v>28</v>
      </c>
      <c r="B15" s="204">
        <f t="shared" si="0"/>
        <v>0</v>
      </c>
      <c r="C15" s="195"/>
      <c r="D15" s="195"/>
      <c r="E15" s="205">
        <f t="shared" si="1"/>
        <v>0</v>
      </c>
      <c r="F15" s="195"/>
      <c r="G15" s="195"/>
    </row>
    <row r="16" spans="1:7" ht="23.25" customHeight="1" x14ac:dyDescent="0.2">
      <c r="A16" s="183" t="s">
        <v>78</v>
      </c>
      <c r="B16" s="202">
        <f t="shared" si="0"/>
        <v>0</v>
      </c>
      <c r="C16" s="194"/>
      <c r="D16" s="194"/>
      <c r="E16" s="201">
        <f t="shared" si="1"/>
        <v>0</v>
      </c>
      <c r="F16" s="194"/>
      <c r="G16" s="194"/>
    </row>
    <row r="17" spans="1:7" ht="23.25" customHeight="1" x14ac:dyDescent="0.2">
      <c r="A17" s="183" t="s">
        <v>79</v>
      </c>
      <c r="B17" s="202">
        <f t="shared" si="0"/>
        <v>0</v>
      </c>
      <c r="C17" s="194"/>
      <c r="D17" s="194"/>
      <c r="E17" s="201">
        <f t="shared" si="1"/>
        <v>0</v>
      </c>
      <c r="F17" s="194"/>
      <c r="G17" s="194"/>
    </row>
    <row r="18" spans="1:7" ht="23.25" customHeight="1" x14ac:dyDescent="0.2">
      <c r="A18" s="188" t="s">
        <v>188</v>
      </c>
      <c r="B18" s="202">
        <f t="shared" si="0"/>
        <v>0</v>
      </c>
      <c r="C18" s="201">
        <f>+C19+C20+C21</f>
        <v>0</v>
      </c>
      <c r="D18" s="201">
        <f t="shared" ref="D18" si="5">+D19+D20+D21</f>
        <v>0</v>
      </c>
      <c r="E18" s="201">
        <f t="shared" ref="E18" si="6">+E19+E20+E21</f>
        <v>0</v>
      </c>
      <c r="F18" s="201">
        <f t="shared" ref="F18" si="7">+F19+F20+F21</f>
        <v>0</v>
      </c>
      <c r="G18" s="201">
        <f t="shared" ref="G18" si="8">+G19+G20+G21</f>
        <v>0</v>
      </c>
    </row>
    <row r="19" spans="1:7" ht="23.25" customHeight="1" x14ac:dyDescent="0.2">
      <c r="A19" s="187" t="s">
        <v>29</v>
      </c>
      <c r="B19" s="204">
        <f t="shared" si="0"/>
        <v>0</v>
      </c>
      <c r="C19" s="194"/>
      <c r="D19" s="194"/>
      <c r="E19" s="201">
        <f t="shared" ref="E19:E23" si="9">+F19+G19</f>
        <v>0</v>
      </c>
      <c r="F19" s="194"/>
      <c r="G19" s="194"/>
    </row>
    <row r="20" spans="1:7" ht="23.25" customHeight="1" x14ac:dyDescent="0.2">
      <c r="A20" s="187" t="s">
        <v>30</v>
      </c>
      <c r="B20" s="204">
        <f t="shared" si="0"/>
        <v>0</v>
      </c>
      <c r="C20" s="195"/>
      <c r="D20" s="195"/>
      <c r="E20" s="205">
        <f t="shared" si="9"/>
        <v>0</v>
      </c>
      <c r="F20" s="195"/>
      <c r="G20" s="195"/>
    </row>
    <row r="21" spans="1:7" ht="23.25" customHeight="1" x14ac:dyDescent="0.2">
      <c r="A21" s="187" t="s">
        <v>31</v>
      </c>
      <c r="B21" s="204">
        <f t="shared" si="0"/>
        <v>0</v>
      </c>
      <c r="C21" s="194"/>
      <c r="D21" s="194"/>
      <c r="E21" s="201">
        <f t="shared" si="9"/>
        <v>0</v>
      </c>
      <c r="F21" s="194"/>
      <c r="G21" s="194"/>
    </row>
    <row r="22" spans="1:7" ht="23.25" customHeight="1" x14ac:dyDescent="0.2">
      <c r="A22" s="183" t="s">
        <v>80</v>
      </c>
      <c r="B22" s="202">
        <f t="shared" si="0"/>
        <v>0</v>
      </c>
      <c r="C22" s="194"/>
      <c r="D22" s="194"/>
      <c r="E22" s="201">
        <f t="shared" si="9"/>
        <v>0</v>
      </c>
      <c r="F22" s="194"/>
      <c r="G22" s="194"/>
    </row>
    <row r="23" spans="1:7" ht="33.75" customHeight="1" x14ac:dyDescent="0.2">
      <c r="A23" s="188" t="s">
        <v>186</v>
      </c>
      <c r="B23" s="203">
        <f t="shared" si="0"/>
        <v>0</v>
      </c>
      <c r="C23" s="194"/>
      <c r="D23" s="194"/>
      <c r="E23" s="201">
        <f t="shared" si="9"/>
        <v>0</v>
      </c>
      <c r="F23" s="194"/>
      <c r="G23" s="194"/>
    </row>
    <row r="24" spans="1:7" ht="20" customHeight="1" x14ac:dyDescent="0.2">
      <c r="A24" s="189" t="s">
        <v>32</v>
      </c>
      <c r="B24" s="201">
        <f>+B10+B11+B12+B13+B16+B17+B18+B22+B23</f>
        <v>0</v>
      </c>
      <c r="C24" s="201">
        <f t="shared" ref="C24" si="10">+C10+C11+C12+C13+C16+C17+C18+C22+C23</f>
        <v>0</v>
      </c>
      <c r="D24" s="201">
        <f t="shared" ref="D24" si="11">+D10+D11+D12+D13+D16+D17+D18+D22+D23</f>
        <v>0</v>
      </c>
      <c r="E24" s="201">
        <f t="shared" ref="E24" si="12">+E10+E11+E12+E13+E16+E17+E18+E22+E23</f>
        <v>0</v>
      </c>
      <c r="F24" s="201">
        <f t="shared" ref="F24" si="13">+F10+F11+F12+F13+F16+F17+F18+F22+F23</f>
        <v>0</v>
      </c>
      <c r="G24" s="201">
        <f t="shared" ref="G24" si="14">+G10+G11+G12+G13+G16+G17+G18+G22+G23</f>
        <v>0</v>
      </c>
    </row>
    <row r="25" spans="1:7" ht="29" customHeight="1" x14ac:dyDescent="0.2">
      <c r="A25" s="310" t="s">
        <v>8</v>
      </c>
      <c r="B25" s="310"/>
      <c r="C25" s="329"/>
      <c r="D25" s="329"/>
      <c r="E25" s="329" t="s">
        <v>9</v>
      </c>
      <c r="F25" s="329"/>
      <c r="G25" s="329"/>
    </row>
    <row r="26" spans="1:7" ht="25.5" customHeight="1" x14ac:dyDescent="0.2">
      <c r="A26" s="328" t="s">
        <v>33</v>
      </c>
      <c r="B26" s="328"/>
      <c r="C26" s="276"/>
      <c r="D26" s="276"/>
      <c r="E26" s="276" t="s">
        <v>34</v>
      </c>
      <c r="F26" s="276"/>
      <c r="G26" s="276"/>
    </row>
    <row r="27" spans="1:7" x14ac:dyDescent="0.2">
      <c r="D27" s="60"/>
      <c r="G27" s="60"/>
    </row>
    <row r="40" spans="1:7" ht="360" customHeight="1" x14ac:dyDescent="0.2"/>
    <row r="41" spans="1:7" s="199" customFormat="1" x14ac:dyDescent="0.2">
      <c r="A41" s="198" t="s">
        <v>35</v>
      </c>
      <c r="B41" s="206" t="e">
        <f>#REF!-#REF!-#REF!</f>
        <v>#REF!</v>
      </c>
      <c r="C41" s="206" t="e">
        <f>#REF!-#REF!-#REF!</f>
        <v>#REF!</v>
      </c>
      <c r="D41" s="206" t="e">
        <f>#REF!-#REF!-#REF!</f>
        <v>#REF!</v>
      </c>
      <c r="E41" s="206" t="e">
        <f>#REF!-#REF!-#REF!</f>
        <v>#REF!</v>
      </c>
      <c r="F41" s="206" t="e">
        <f>#REF!-#REF!-#REF!</f>
        <v>#REF!</v>
      </c>
      <c r="G41" s="206" t="e">
        <f>#REF!-#REF!-#REF!</f>
        <v>#REF!</v>
      </c>
    </row>
    <row r="42" spans="1:7" s="199" customFormat="1" x14ac:dyDescent="0.2">
      <c r="A42" s="198" t="s">
        <v>38</v>
      </c>
      <c r="B42" s="206" t="e">
        <f>#REF!-#REF!-#REF!-#REF!</f>
        <v>#REF!</v>
      </c>
      <c r="C42" s="206" t="e">
        <f>#REF!-#REF!-#REF!-#REF!</f>
        <v>#REF!</v>
      </c>
      <c r="D42" s="206" t="e">
        <f>#REF!-#REF!-#REF!-#REF!</f>
        <v>#REF!</v>
      </c>
      <c r="E42" s="206" t="e">
        <f>#REF!-#REF!-#REF!-#REF!</f>
        <v>#REF!</v>
      </c>
      <c r="F42" s="206" t="e">
        <f>#REF!-#REF!-#REF!-#REF!</f>
        <v>#REF!</v>
      </c>
      <c r="G42" s="206" t="e">
        <f>#REF!-#REF!-#REF!-#REF!</f>
        <v>#REF!</v>
      </c>
    </row>
    <row r="43" spans="1:7" s="199" customFormat="1" x14ac:dyDescent="0.2">
      <c r="A43" s="198" t="s">
        <v>36</v>
      </c>
      <c r="B43" s="206" t="e">
        <f>#REF!-#REF!-#REF!-#REF!</f>
        <v>#REF!</v>
      </c>
      <c r="C43" s="206" t="e">
        <f>#REF!-#REF!-#REF!-#REF!</f>
        <v>#REF!</v>
      </c>
      <c r="D43" s="206" t="e">
        <f>#REF!-#REF!-#REF!-#REF!</f>
        <v>#REF!</v>
      </c>
      <c r="E43" s="206" t="e">
        <f>#REF!-#REF!-#REF!-#REF!</f>
        <v>#REF!</v>
      </c>
      <c r="F43" s="206" t="e">
        <f>#REF!-#REF!-#REF!-#REF!</f>
        <v>#REF!</v>
      </c>
      <c r="G43" s="206" t="e">
        <f>#REF!-#REF!-#REF!-#REF!</f>
        <v>#REF!</v>
      </c>
    </row>
    <row r="44" spans="1:7" s="199" customFormat="1" x14ac:dyDescent="0.2">
      <c r="A44" s="198" t="s">
        <v>37</v>
      </c>
      <c r="B44" s="206" t="e">
        <f>#REF!-#REF!-#REF!-#REF!-#REF!-#REF!</f>
        <v>#REF!</v>
      </c>
      <c r="C44" s="206" t="e">
        <f>#REF!-#REF!-#REF!-#REF!-#REF!-#REF!</f>
        <v>#REF!</v>
      </c>
      <c r="D44" s="206" t="e">
        <f>#REF!-#REF!-#REF!-#REF!-#REF!-#REF!</f>
        <v>#REF!</v>
      </c>
      <c r="E44" s="206" t="e">
        <f>#REF!-#REF!-#REF!-#REF!-#REF!-#REF!</f>
        <v>#REF!</v>
      </c>
      <c r="F44" s="206" t="e">
        <f>#REF!-#REF!-#REF!-#REF!-#REF!-#REF!</f>
        <v>#REF!</v>
      </c>
      <c r="G44" s="206" t="e">
        <f>#REF!-#REF!-#REF!-#REF!-#REF!-#REF!</f>
        <v>#REF!</v>
      </c>
    </row>
    <row r="45" spans="1:7" s="199" customFormat="1" x14ac:dyDescent="0.2">
      <c r="A45" s="200" t="s">
        <v>39</v>
      </c>
      <c r="B45" s="206" t="e">
        <f>#REF!-SUM(#REF!,#REF!,#REF!,#REF!,#REF!,#REF!,#REF!,#REF!,#REF!)</f>
        <v>#REF!</v>
      </c>
      <c r="C45" s="206" t="e">
        <f>#REF!-SUM(#REF!,#REF!,#REF!,#REF!,#REF!,#REF!,#REF!,#REF!,#REF!)</f>
        <v>#REF!</v>
      </c>
      <c r="D45" s="206" t="e">
        <f>#REF!-SUM(#REF!,#REF!,#REF!,#REF!,#REF!,#REF!,#REF!,#REF!,#REF!)</f>
        <v>#REF!</v>
      </c>
      <c r="E45" s="206" t="e">
        <f>#REF!-SUM(#REF!,#REF!,#REF!,#REF!,#REF!,#REF!,#REF!,#REF!,#REF!)</f>
        <v>#REF!</v>
      </c>
      <c r="F45" s="206" t="e">
        <f>#REF!-SUM(#REF!,#REF!,#REF!,#REF!,#REF!,#REF!,#REF!,#REF!,#REF!)</f>
        <v>#REF!</v>
      </c>
      <c r="G45" s="206" t="e">
        <f>#REF!-SUM(#REF!,#REF!,#REF!,#REF!,#REF!,#REF!,#REF!,#REF!,#REF!)</f>
        <v>#REF!</v>
      </c>
    </row>
  </sheetData>
  <mergeCells count="20">
    <mergeCell ref="A9:G9"/>
    <mergeCell ref="A26:B26"/>
    <mergeCell ref="A25:B25"/>
    <mergeCell ref="C25:D25"/>
    <mergeCell ref="C26:D26"/>
    <mergeCell ref="E25:G25"/>
    <mergeCell ref="E26:G26"/>
    <mergeCell ref="E1:G1"/>
    <mergeCell ref="E2:G2"/>
    <mergeCell ref="A3:G3"/>
    <mergeCell ref="A4:G4"/>
    <mergeCell ref="A6:A7"/>
    <mergeCell ref="C5:D5"/>
    <mergeCell ref="C1:D1"/>
    <mergeCell ref="C2:D2"/>
    <mergeCell ref="A1:B1"/>
    <mergeCell ref="A2:B2"/>
    <mergeCell ref="B6:D6"/>
    <mergeCell ref="F5:G5"/>
    <mergeCell ref="E6:G6"/>
  </mergeCells>
  <dataValidations count="1">
    <dataValidation type="whole" operator="greaterThanOrEqual" allowBlank="1" showInputMessage="1" showErrorMessage="1" errorTitle="Thông báo" error="Chỉ nhập số liệu dạng số" sqref="B24:G24 C11:G23" xr:uid="{00000000-0002-0000-0700-000000000000}">
      <formula1>0</formula1>
    </dataValidation>
  </dataValidations>
  <pageMargins left="0.25" right="0.25" top="0.45" bottom="0.48" header="0.3" footer="0.3"/>
  <pageSetup paperSize="9" scale="92"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1:P24"/>
  <sheetViews>
    <sheetView zoomScaleNormal="100" zoomScaleSheetLayoutView="130" workbookViewId="0">
      <selection activeCell="F1" sqref="F1:O1048576"/>
    </sheetView>
  </sheetViews>
  <sheetFormatPr baseColWidth="10" defaultColWidth="9" defaultRowHeight="16" x14ac:dyDescent="0.2"/>
  <cols>
    <col min="1" max="1" width="76.5" style="78" customWidth="1"/>
    <col min="2" max="4" width="18.5" style="78" customWidth="1"/>
    <col min="5" max="16384" width="9" style="78"/>
  </cols>
  <sheetData>
    <row r="1" spans="1:6" s="66" customFormat="1" ht="33.75" customHeight="1" x14ac:dyDescent="0.2">
      <c r="A1" s="103" t="s">
        <v>235</v>
      </c>
      <c r="B1" s="293" t="s">
        <v>0</v>
      </c>
      <c r="C1" s="293"/>
      <c r="D1" s="293"/>
      <c r="E1" s="65"/>
      <c r="F1" s="172" t="s">
        <v>242</v>
      </c>
    </row>
    <row r="2" spans="1:6" s="66" customFormat="1" ht="17" x14ac:dyDescent="0.2">
      <c r="A2" s="103" t="s">
        <v>4</v>
      </c>
      <c r="B2" s="330" t="s">
        <v>100</v>
      </c>
      <c r="C2" s="330"/>
      <c r="D2" s="330"/>
      <c r="E2" s="67"/>
    </row>
    <row r="3" spans="1:6" x14ac:dyDescent="0.2">
      <c r="A3" s="331" t="s">
        <v>139</v>
      </c>
      <c r="B3" s="331"/>
      <c r="C3" s="331"/>
      <c r="D3" s="331"/>
    </row>
    <row r="4" spans="1:6" ht="46.5" customHeight="1" x14ac:dyDescent="0.2">
      <c r="A4" s="332" t="s">
        <v>265</v>
      </c>
      <c r="B4" s="333"/>
      <c r="C4" s="333"/>
      <c r="D4" s="333"/>
    </row>
    <row r="5" spans="1:6" x14ac:dyDescent="0.2">
      <c r="A5" s="334" t="s">
        <v>157</v>
      </c>
      <c r="B5" s="334"/>
      <c r="C5" s="334"/>
      <c r="D5" s="334"/>
    </row>
    <row r="6" spans="1:6" ht="26.25" customHeight="1" x14ac:dyDescent="0.2">
      <c r="A6" s="160" t="s">
        <v>103</v>
      </c>
      <c r="B6" s="88" t="s">
        <v>74</v>
      </c>
      <c r="C6" s="88" t="s">
        <v>24</v>
      </c>
      <c r="D6" s="88" t="s">
        <v>140</v>
      </c>
    </row>
    <row r="7" spans="1:6" ht="16.5" customHeight="1" x14ac:dyDescent="0.2">
      <c r="A7" s="161" t="s">
        <v>141</v>
      </c>
      <c r="B7" s="162"/>
      <c r="C7" s="162"/>
      <c r="D7" s="162"/>
    </row>
    <row r="8" spans="1:6" ht="16.5" customHeight="1" x14ac:dyDescent="0.2">
      <c r="A8" s="163" t="s">
        <v>142</v>
      </c>
      <c r="B8" s="162"/>
      <c r="C8" s="162"/>
      <c r="D8" s="162"/>
    </row>
    <row r="9" spans="1:6" ht="16.5" customHeight="1" x14ac:dyDescent="0.2">
      <c r="A9" s="164" t="s">
        <v>143</v>
      </c>
      <c r="B9" s="162"/>
      <c r="C9" s="162"/>
      <c r="D9" s="162"/>
    </row>
    <row r="10" spans="1:6" ht="16.5" customHeight="1" x14ac:dyDescent="0.2">
      <c r="A10" s="164" t="s">
        <v>144</v>
      </c>
      <c r="B10" s="162"/>
      <c r="C10" s="162"/>
      <c r="D10" s="162"/>
    </row>
    <row r="11" spans="1:6" ht="16.5" customHeight="1" x14ac:dyDescent="0.2">
      <c r="A11" s="165" t="s">
        <v>145</v>
      </c>
      <c r="B11" s="162"/>
      <c r="C11" s="162"/>
      <c r="D11" s="162"/>
    </row>
    <row r="12" spans="1:6" ht="16.5" customHeight="1" x14ac:dyDescent="0.2">
      <c r="A12" s="164" t="s">
        <v>146</v>
      </c>
      <c r="B12" s="162"/>
      <c r="C12" s="162"/>
      <c r="D12" s="162"/>
    </row>
    <row r="13" spans="1:6" ht="16.5" customHeight="1" x14ac:dyDescent="0.2">
      <c r="A13" s="164" t="s">
        <v>147</v>
      </c>
      <c r="B13" s="162"/>
      <c r="C13" s="162"/>
      <c r="D13" s="162"/>
    </row>
    <row r="14" spans="1:6" ht="16.5" customHeight="1" x14ac:dyDescent="0.2">
      <c r="A14" s="163" t="s">
        <v>148</v>
      </c>
      <c r="B14" s="162"/>
      <c r="C14" s="162"/>
      <c r="D14" s="162"/>
    </row>
    <row r="15" spans="1:6" ht="16.5" customHeight="1" x14ac:dyDescent="0.2">
      <c r="A15" s="164" t="s">
        <v>149</v>
      </c>
      <c r="B15" s="162"/>
      <c r="C15" s="162"/>
      <c r="D15" s="162"/>
    </row>
    <row r="16" spans="1:6" ht="16.5" customHeight="1" x14ac:dyDescent="0.2">
      <c r="A16" s="164" t="s">
        <v>150</v>
      </c>
      <c r="B16" s="162"/>
      <c r="C16" s="162"/>
      <c r="D16" s="162"/>
    </row>
    <row r="17" spans="1:16" ht="16.5" customHeight="1" x14ac:dyDescent="0.2">
      <c r="A17" s="164" t="s">
        <v>151</v>
      </c>
      <c r="B17" s="162"/>
      <c r="C17" s="162"/>
      <c r="D17" s="162"/>
    </row>
    <row r="18" spans="1:16" ht="16.5" customHeight="1" x14ac:dyDescent="0.2">
      <c r="A18" s="164" t="s">
        <v>152</v>
      </c>
      <c r="B18" s="162"/>
      <c r="C18" s="162"/>
      <c r="D18" s="162"/>
    </row>
    <row r="19" spans="1:16" ht="16.5" customHeight="1" x14ac:dyDescent="0.2">
      <c r="A19" s="164" t="s">
        <v>153</v>
      </c>
      <c r="B19" s="162"/>
      <c r="C19" s="162"/>
      <c r="D19" s="162"/>
    </row>
    <row r="20" spans="1:16" ht="16.5" customHeight="1" x14ac:dyDescent="0.2">
      <c r="A20" s="161" t="s">
        <v>154</v>
      </c>
      <c r="B20" s="162"/>
      <c r="C20" s="162"/>
      <c r="D20" s="162"/>
    </row>
    <row r="21" spans="1:16" ht="16.5" customHeight="1" x14ac:dyDescent="0.2">
      <c r="A21" s="164" t="s">
        <v>155</v>
      </c>
      <c r="B21" s="162"/>
      <c r="C21" s="162"/>
      <c r="D21" s="162"/>
    </row>
    <row r="22" spans="1:16" ht="16.5" customHeight="1" x14ac:dyDescent="0.2">
      <c r="A22" s="165" t="s">
        <v>156</v>
      </c>
      <c r="B22" s="162"/>
      <c r="C22" s="162"/>
      <c r="D22" s="162"/>
    </row>
    <row r="23" spans="1:16" s="66" customFormat="1" x14ac:dyDescent="0.2">
      <c r="A23" s="35" t="s">
        <v>8</v>
      </c>
      <c r="B23" s="111"/>
      <c r="C23" s="329" t="s">
        <v>9</v>
      </c>
      <c r="D23" s="329"/>
      <c r="E23" s="30"/>
      <c r="F23" s="30"/>
      <c r="G23" s="105"/>
      <c r="H23" s="105"/>
      <c r="I23" s="105"/>
      <c r="J23" s="105"/>
      <c r="O23" s="105"/>
      <c r="P23" s="105"/>
    </row>
    <row r="24" spans="1:16" s="66" customFormat="1" ht="15.5" customHeight="1" x14ac:dyDescent="0.2">
      <c r="A24" s="107" t="s">
        <v>33</v>
      </c>
      <c r="B24" s="112"/>
      <c r="C24" s="251" t="s">
        <v>34</v>
      </c>
      <c r="D24" s="251"/>
      <c r="E24" s="32"/>
      <c r="F24" s="32"/>
      <c r="G24" s="105"/>
      <c r="H24" s="105"/>
      <c r="I24" s="105"/>
      <c r="J24" s="105"/>
      <c r="O24" s="105"/>
      <c r="P24" s="105"/>
    </row>
  </sheetData>
  <mergeCells count="7">
    <mergeCell ref="B1:D1"/>
    <mergeCell ref="B2:D2"/>
    <mergeCell ref="C23:D23"/>
    <mergeCell ref="C24:D24"/>
    <mergeCell ref="A3:D3"/>
    <mergeCell ref="A4:D4"/>
    <mergeCell ref="A5:D5"/>
  </mergeCells>
  <printOptions horizontalCentered="1"/>
  <pageMargins left="0.23622047244094491" right="0.23622047244094491" top="0.74803149606299213" bottom="0.74803149606299213" header="0.31496062992125984" footer="0.31496062992125984"/>
  <pageSetup paperSize="9" scale="99"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G24"/>
  <sheetViews>
    <sheetView workbookViewId="0">
      <selection activeCell="I1" sqref="I1:Q1048576"/>
    </sheetView>
  </sheetViews>
  <sheetFormatPr baseColWidth="10" defaultColWidth="9" defaultRowHeight="16" x14ac:dyDescent="0.2"/>
  <cols>
    <col min="1" max="1" width="44.5" style="78" customWidth="1"/>
    <col min="2" max="2" width="15.5" style="78" customWidth="1"/>
    <col min="3" max="3" width="14.5" style="78" customWidth="1"/>
    <col min="4" max="4" width="13.83203125" style="78" customWidth="1"/>
    <col min="5" max="6" width="15.5" style="78" customWidth="1"/>
    <col min="7" max="7" width="11.33203125" style="78" customWidth="1"/>
    <col min="8" max="16384" width="9" style="78"/>
  </cols>
  <sheetData>
    <row r="1" spans="1:7" s="66" customFormat="1" ht="33.75" customHeight="1" x14ac:dyDescent="0.2">
      <c r="A1" s="211" t="s">
        <v>237</v>
      </c>
      <c r="B1" s="109"/>
      <c r="C1" s="109"/>
      <c r="D1" s="109"/>
      <c r="E1" s="293" t="s">
        <v>0</v>
      </c>
      <c r="F1" s="293"/>
      <c r="G1" s="293"/>
    </row>
    <row r="2" spans="1:7" s="66" customFormat="1" ht="17" x14ac:dyDescent="0.2">
      <c r="A2" s="103" t="s">
        <v>4</v>
      </c>
      <c r="B2" s="109"/>
      <c r="C2" s="109"/>
      <c r="D2" s="109"/>
      <c r="E2" s="330" t="s">
        <v>100</v>
      </c>
      <c r="F2" s="330"/>
      <c r="G2" s="330"/>
    </row>
    <row r="3" spans="1:7" ht="42" customHeight="1" x14ac:dyDescent="0.2">
      <c r="A3" s="335" t="s">
        <v>167</v>
      </c>
      <c r="B3" s="331"/>
      <c r="C3" s="331"/>
      <c r="D3" s="331"/>
      <c r="E3" s="331"/>
      <c r="F3" s="331"/>
      <c r="G3" s="331"/>
    </row>
    <row r="4" spans="1:7" x14ac:dyDescent="0.2">
      <c r="A4" s="334" t="s">
        <v>165</v>
      </c>
      <c r="B4" s="334"/>
      <c r="C4" s="334"/>
      <c r="D4" s="334"/>
      <c r="E4" s="334"/>
      <c r="F4" s="334"/>
      <c r="G4" s="334"/>
    </row>
    <row r="5" spans="1:7" x14ac:dyDescent="0.2">
      <c r="A5" s="336" t="s">
        <v>98</v>
      </c>
      <c r="B5" s="336" t="s">
        <v>158</v>
      </c>
      <c r="C5" s="338" t="s">
        <v>159</v>
      </c>
      <c r="D5" s="339"/>
      <c r="E5" s="339"/>
      <c r="F5" s="339"/>
      <c r="G5" s="340"/>
    </row>
    <row r="6" spans="1:7" ht="51" x14ac:dyDescent="0.2">
      <c r="A6" s="337"/>
      <c r="B6" s="337"/>
      <c r="C6" s="89" t="s">
        <v>160</v>
      </c>
      <c r="D6" s="89" t="s">
        <v>161</v>
      </c>
      <c r="E6" s="89" t="s">
        <v>162</v>
      </c>
      <c r="F6" s="89" t="s">
        <v>163</v>
      </c>
      <c r="G6" s="89" t="s">
        <v>164</v>
      </c>
    </row>
    <row r="7" spans="1:7" s="113" customFormat="1" ht="18.75" customHeight="1" x14ac:dyDescent="0.2">
      <c r="A7" s="100" t="s">
        <v>26</v>
      </c>
      <c r="B7" s="19"/>
      <c r="C7" s="23"/>
      <c r="D7" s="23"/>
      <c r="E7" s="23"/>
      <c r="F7" s="19"/>
      <c r="G7" s="19"/>
    </row>
    <row r="8" spans="1:7" s="113" customFormat="1" ht="18.75" customHeight="1" x14ac:dyDescent="0.2">
      <c r="A8" s="99" t="s">
        <v>76</v>
      </c>
      <c r="B8" s="23"/>
      <c r="C8" s="23"/>
      <c r="D8" s="23"/>
      <c r="E8" s="23"/>
      <c r="F8" s="23"/>
      <c r="G8" s="23"/>
    </row>
    <row r="9" spans="1:7" s="113" customFormat="1" ht="18.75" customHeight="1" x14ac:dyDescent="0.2">
      <c r="A9" s="99" t="s">
        <v>77</v>
      </c>
      <c r="B9" s="23"/>
      <c r="C9" s="23"/>
      <c r="D9" s="23"/>
      <c r="E9" s="23"/>
      <c r="F9" s="23"/>
      <c r="G9" s="23"/>
    </row>
    <row r="10" spans="1:7" s="113" customFormat="1" ht="18.75" customHeight="1" x14ac:dyDescent="0.2">
      <c r="A10" s="100" t="s">
        <v>185</v>
      </c>
      <c r="B10" s="23">
        <f>+B11+B12</f>
        <v>0</v>
      </c>
      <c r="C10" s="23">
        <f t="shared" ref="C10:G10" si="0">+C11+C12</f>
        <v>0</v>
      </c>
      <c r="D10" s="23">
        <f t="shared" si="0"/>
        <v>0</v>
      </c>
      <c r="E10" s="23">
        <f t="shared" si="0"/>
        <v>0</v>
      </c>
      <c r="F10" s="23">
        <f t="shared" si="0"/>
        <v>0</v>
      </c>
      <c r="G10" s="23">
        <f t="shared" si="0"/>
        <v>0</v>
      </c>
    </row>
    <row r="11" spans="1:7" s="113" customFormat="1" ht="18.75" customHeight="1" x14ac:dyDescent="0.2">
      <c r="A11" s="114" t="s">
        <v>27</v>
      </c>
      <c r="B11" s="23"/>
      <c r="C11" s="23"/>
      <c r="D11" s="23"/>
      <c r="E11" s="23"/>
      <c r="F11" s="23"/>
      <c r="G11" s="23"/>
    </row>
    <row r="12" spans="1:7" s="113" customFormat="1" ht="18.75" customHeight="1" x14ac:dyDescent="0.2">
      <c r="A12" s="114" t="s">
        <v>28</v>
      </c>
      <c r="B12" s="23"/>
      <c r="C12" s="23"/>
      <c r="D12" s="23"/>
      <c r="E12" s="23"/>
      <c r="F12" s="23"/>
      <c r="G12" s="23"/>
    </row>
    <row r="13" spans="1:7" s="113" customFormat="1" ht="18.75" customHeight="1" x14ac:dyDescent="0.2">
      <c r="A13" s="100" t="s">
        <v>78</v>
      </c>
      <c r="B13" s="23"/>
      <c r="C13" s="23"/>
      <c r="D13" s="23"/>
      <c r="E13" s="23"/>
      <c r="F13" s="23"/>
      <c r="G13" s="23"/>
    </row>
    <row r="14" spans="1:7" s="113" customFormat="1" ht="18.75" customHeight="1" x14ac:dyDescent="0.2">
      <c r="A14" s="100" t="s">
        <v>79</v>
      </c>
      <c r="B14" s="23"/>
      <c r="C14" s="23"/>
      <c r="D14" s="23"/>
      <c r="E14" s="23"/>
      <c r="F14" s="23"/>
      <c r="G14" s="23"/>
    </row>
    <row r="15" spans="1:7" s="113" customFormat="1" ht="18.75" customHeight="1" x14ac:dyDescent="0.2">
      <c r="A15" s="100" t="s">
        <v>101</v>
      </c>
      <c r="B15" s="23">
        <f>+B16+B17+B18</f>
        <v>0</v>
      </c>
      <c r="C15" s="23">
        <f t="shared" ref="C15:G15" si="1">+C16+C17+C18</f>
        <v>0</v>
      </c>
      <c r="D15" s="23">
        <f t="shared" si="1"/>
        <v>0</v>
      </c>
      <c r="E15" s="23">
        <f t="shared" si="1"/>
        <v>0</v>
      </c>
      <c r="F15" s="23">
        <f t="shared" si="1"/>
        <v>0</v>
      </c>
      <c r="G15" s="23">
        <f t="shared" si="1"/>
        <v>0</v>
      </c>
    </row>
    <row r="16" spans="1:7" s="113" customFormat="1" ht="18.75" customHeight="1" x14ac:dyDescent="0.2">
      <c r="A16" s="114" t="s">
        <v>29</v>
      </c>
      <c r="B16" s="23"/>
      <c r="C16" s="23"/>
      <c r="D16" s="23"/>
      <c r="E16" s="23"/>
      <c r="F16" s="23"/>
      <c r="G16" s="23"/>
    </row>
    <row r="17" spans="1:7" s="113" customFormat="1" ht="18.75" customHeight="1" x14ac:dyDescent="0.2">
      <c r="A17" s="114" t="s">
        <v>30</v>
      </c>
      <c r="B17" s="23"/>
      <c r="C17" s="23"/>
      <c r="D17" s="23"/>
      <c r="E17" s="23"/>
      <c r="F17" s="23"/>
      <c r="G17" s="23"/>
    </row>
    <row r="18" spans="1:7" s="113" customFormat="1" ht="18.75" customHeight="1" x14ac:dyDescent="0.2">
      <c r="A18" s="114" t="s">
        <v>31</v>
      </c>
      <c r="B18" s="23"/>
      <c r="C18" s="23"/>
      <c r="D18" s="23"/>
      <c r="E18" s="23"/>
      <c r="F18" s="23"/>
      <c r="G18" s="23"/>
    </row>
    <row r="19" spans="1:7" s="113" customFormat="1" ht="18.75" customHeight="1" x14ac:dyDescent="0.2">
      <c r="A19" s="100" t="s">
        <v>80</v>
      </c>
      <c r="B19" s="82"/>
      <c r="C19" s="82"/>
      <c r="D19" s="82"/>
      <c r="E19" s="82"/>
      <c r="F19" s="82"/>
      <c r="G19" s="82"/>
    </row>
    <row r="20" spans="1:7" s="113" customFormat="1" ht="18.75" customHeight="1" x14ac:dyDescent="0.2">
      <c r="A20" s="100" t="s">
        <v>166</v>
      </c>
      <c r="B20" s="115"/>
      <c r="C20" s="115"/>
      <c r="D20" s="115"/>
      <c r="E20" s="115"/>
      <c r="F20" s="115"/>
      <c r="G20" s="115"/>
    </row>
    <row r="21" spans="1:7" s="113" customFormat="1" ht="18.75" customHeight="1" x14ac:dyDescent="0.2">
      <c r="A21" s="83" t="s">
        <v>99</v>
      </c>
      <c r="B21" s="207">
        <f>+B7+B8+B9+B10+B13+B14+B15+B19+B20</f>
        <v>0</v>
      </c>
      <c r="C21" s="207">
        <f t="shared" ref="C21:G21" si="2">+C7+C8+C9+C10+C13+C14+C15+C19+C20</f>
        <v>0</v>
      </c>
      <c r="D21" s="207">
        <f t="shared" si="2"/>
        <v>0</v>
      </c>
      <c r="E21" s="207">
        <f t="shared" si="2"/>
        <v>0</v>
      </c>
      <c r="F21" s="207">
        <f t="shared" si="2"/>
        <v>0</v>
      </c>
      <c r="G21" s="207">
        <f t="shared" si="2"/>
        <v>0</v>
      </c>
    </row>
    <row r="22" spans="1:7" x14ac:dyDescent="0.2">
      <c r="A22" s="105" t="s">
        <v>196</v>
      </c>
      <c r="B22" s="105"/>
      <c r="C22" s="105"/>
      <c r="D22" s="105"/>
      <c r="E22" s="105"/>
      <c r="F22" s="105"/>
      <c r="G22" s="105"/>
    </row>
    <row r="23" spans="1:7" x14ac:dyDescent="0.2">
      <c r="A23" s="35" t="s">
        <v>8</v>
      </c>
      <c r="B23" s="111"/>
      <c r="C23" s="111"/>
      <c r="D23" s="111"/>
      <c r="E23" s="250" t="s">
        <v>9</v>
      </c>
      <c r="F23" s="250"/>
      <c r="G23" s="30"/>
    </row>
    <row r="24" spans="1:7" x14ac:dyDescent="0.2">
      <c r="A24" s="80" t="s">
        <v>33</v>
      </c>
      <c r="B24" s="80"/>
      <c r="C24" s="80"/>
      <c r="D24" s="80"/>
      <c r="E24" s="102" t="s">
        <v>34</v>
      </c>
      <c r="F24" s="102"/>
      <c r="G24" s="102"/>
    </row>
  </sheetData>
  <mergeCells count="8">
    <mergeCell ref="E23:F23"/>
    <mergeCell ref="E1:G1"/>
    <mergeCell ref="E2:G2"/>
    <mergeCell ref="A3:G3"/>
    <mergeCell ref="A4:G4"/>
    <mergeCell ref="A5:A6"/>
    <mergeCell ref="B5:B6"/>
    <mergeCell ref="C5:G5"/>
  </mergeCells>
  <pageMargins left="0.7" right="0.37" top="0.75" bottom="0.75" header="0.3" footer="0.3"/>
  <pageSetup paperSize="9" scale="95"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pageSetUpPr fitToPage="1"/>
  </sheetPr>
  <dimension ref="A1:P49"/>
  <sheetViews>
    <sheetView topLeftCell="A2" workbookViewId="0">
      <selection activeCell="Q2" sqref="Q1:X1048576"/>
    </sheetView>
  </sheetViews>
  <sheetFormatPr baseColWidth="10" defaultColWidth="9" defaultRowHeight="15" x14ac:dyDescent="0.2"/>
  <cols>
    <col min="1" max="1" width="5.5" style="76" customWidth="1"/>
    <col min="2" max="2" width="24.5" style="70" customWidth="1"/>
    <col min="3" max="3" width="12.1640625" style="70" customWidth="1"/>
    <col min="4" max="5" width="9.6640625" style="70" customWidth="1"/>
    <col min="6" max="7" width="7.5" style="70" customWidth="1"/>
    <col min="8" max="8" width="9.6640625" style="70" customWidth="1"/>
    <col min="9" max="9" width="5.6640625" style="70" customWidth="1"/>
    <col min="10" max="10" width="6.33203125" style="70" customWidth="1"/>
    <col min="11" max="12" width="9.6640625" style="69" customWidth="1"/>
    <col min="13" max="13" width="6.83203125" style="69" customWidth="1"/>
    <col min="14" max="14" width="8" style="69" customWidth="1"/>
    <col min="15" max="15" width="9.6640625" style="70" customWidth="1"/>
    <col min="16" max="16384" width="9" style="70"/>
  </cols>
  <sheetData>
    <row r="1" spans="1:15" s="66" customFormat="1" ht="36" customHeight="1" x14ac:dyDescent="0.2">
      <c r="A1" s="335" t="s">
        <v>235</v>
      </c>
      <c r="B1" s="335"/>
      <c r="C1" s="335"/>
      <c r="D1" s="335"/>
      <c r="E1" s="104"/>
      <c r="F1" s="105"/>
      <c r="G1" s="105"/>
      <c r="H1" s="105"/>
      <c r="I1" s="105"/>
      <c r="J1" s="105"/>
      <c r="K1" s="293" t="s">
        <v>0</v>
      </c>
      <c r="L1" s="293"/>
      <c r="M1" s="293"/>
      <c r="N1" s="293"/>
      <c r="O1" s="293"/>
    </row>
    <row r="2" spans="1:15" s="66" customFormat="1" ht="16" x14ac:dyDescent="0.2">
      <c r="A2" s="342" t="s">
        <v>4</v>
      </c>
      <c r="B2" s="342"/>
      <c r="C2" s="342"/>
      <c r="D2" s="342"/>
      <c r="E2" s="106"/>
      <c r="F2" s="105"/>
      <c r="G2" s="105"/>
      <c r="H2" s="105"/>
      <c r="I2" s="105"/>
      <c r="J2" s="105"/>
      <c r="K2" s="330" t="s">
        <v>100</v>
      </c>
      <c r="L2" s="330"/>
      <c r="M2" s="330"/>
      <c r="N2" s="330"/>
      <c r="O2" s="330"/>
    </row>
    <row r="3" spans="1:15" ht="16" x14ac:dyDescent="0.2">
      <c r="A3" s="333" t="s">
        <v>122</v>
      </c>
      <c r="B3" s="333"/>
      <c r="C3" s="333"/>
      <c r="D3" s="333"/>
      <c r="E3" s="333"/>
      <c r="F3" s="333"/>
      <c r="G3" s="333"/>
      <c r="H3" s="333"/>
      <c r="I3" s="333"/>
      <c r="J3" s="333"/>
      <c r="K3" s="333"/>
      <c r="L3" s="333"/>
      <c r="M3" s="333"/>
      <c r="N3" s="333"/>
      <c r="O3" s="333"/>
    </row>
    <row r="4" spans="1:15" ht="16" x14ac:dyDescent="0.2">
      <c r="A4" s="343" t="s">
        <v>233</v>
      </c>
      <c r="B4" s="343"/>
      <c r="C4" s="343"/>
      <c r="D4" s="343"/>
      <c r="E4" s="343"/>
      <c r="F4" s="343"/>
      <c r="G4" s="343"/>
      <c r="H4" s="343"/>
      <c r="I4" s="343"/>
      <c r="J4" s="343"/>
      <c r="K4" s="343"/>
      <c r="L4" s="343"/>
      <c r="M4" s="343"/>
      <c r="N4" s="343"/>
      <c r="O4" s="343"/>
    </row>
    <row r="5" spans="1:15" s="71" customFormat="1" ht="15.75" customHeight="1" x14ac:dyDescent="0.2">
      <c r="A5" s="117"/>
      <c r="B5" s="118"/>
      <c r="C5" s="119"/>
      <c r="D5" s="120"/>
      <c r="E5" s="120"/>
      <c r="F5" s="120"/>
      <c r="G5" s="120"/>
      <c r="H5" s="120"/>
      <c r="I5" s="345"/>
      <c r="J5" s="345"/>
      <c r="K5" s="121"/>
      <c r="L5" s="121"/>
      <c r="N5" s="346" t="s">
        <v>223</v>
      </c>
      <c r="O5" s="346"/>
    </row>
    <row r="6" spans="1:15" ht="16" x14ac:dyDescent="0.2">
      <c r="A6" s="309" t="s">
        <v>42</v>
      </c>
      <c r="B6" s="309"/>
      <c r="C6" s="309" t="s">
        <v>104</v>
      </c>
      <c r="D6" s="307" t="s">
        <v>5</v>
      </c>
      <c r="E6" s="307"/>
      <c r="F6" s="307"/>
      <c r="G6" s="307"/>
      <c r="H6" s="307"/>
      <c r="I6" s="307"/>
      <c r="J6" s="307"/>
      <c r="K6" s="307"/>
      <c r="L6" s="307"/>
      <c r="M6" s="307"/>
      <c r="N6" s="307"/>
      <c r="O6" s="307"/>
    </row>
    <row r="7" spans="1:15" s="73" customFormat="1" ht="95.25" customHeight="1" x14ac:dyDescent="0.2">
      <c r="A7" s="309"/>
      <c r="B7" s="309"/>
      <c r="C7" s="309"/>
      <c r="D7" s="97" t="s">
        <v>123</v>
      </c>
      <c r="E7" s="97" t="s">
        <v>118</v>
      </c>
      <c r="F7" s="97" t="s">
        <v>119</v>
      </c>
      <c r="G7" s="97" t="s">
        <v>82</v>
      </c>
      <c r="H7" s="97" t="s">
        <v>83</v>
      </c>
      <c r="I7" s="97" t="s">
        <v>2</v>
      </c>
      <c r="J7" s="97" t="s">
        <v>3</v>
      </c>
      <c r="K7" s="97" t="s">
        <v>10</v>
      </c>
      <c r="L7" s="97" t="s">
        <v>81</v>
      </c>
      <c r="M7" s="97" t="s">
        <v>11</v>
      </c>
      <c r="N7" s="97" t="s">
        <v>120</v>
      </c>
      <c r="O7" s="97" t="s">
        <v>121</v>
      </c>
    </row>
    <row r="8" spans="1:15" s="75" customFormat="1" ht="30.75" customHeight="1" x14ac:dyDescent="0.2">
      <c r="A8" s="344">
        <v>1</v>
      </c>
      <c r="B8" s="344"/>
      <c r="C8" s="169" t="s">
        <v>228</v>
      </c>
      <c r="D8" s="122">
        <v>3</v>
      </c>
      <c r="E8" s="122">
        <v>4</v>
      </c>
      <c r="F8" s="122">
        <v>5</v>
      </c>
      <c r="G8" s="122">
        <v>6</v>
      </c>
      <c r="H8" s="122">
        <v>7</v>
      </c>
      <c r="I8" s="122">
        <v>8</v>
      </c>
      <c r="J8" s="122">
        <v>9</v>
      </c>
      <c r="K8" s="122">
        <v>10</v>
      </c>
      <c r="L8" s="122">
        <v>11</v>
      </c>
      <c r="M8" s="122">
        <v>12</v>
      </c>
      <c r="N8" s="122">
        <v>13</v>
      </c>
      <c r="O8" s="122">
        <v>14</v>
      </c>
    </row>
    <row r="9" spans="1:15" s="72" customFormat="1" ht="19.5" customHeight="1" x14ac:dyDescent="0.2">
      <c r="A9" s="82">
        <v>1</v>
      </c>
      <c r="B9" s="108" t="s">
        <v>105</v>
      </c>
      <c r="C9" s="95">
        <f>SUM(D9:O9)</f>
        <v>0</v>
      </c>
      <c r="D9" s="95"/>
      <c r="E9" s="95"/>
      <c r="F9" s="95"/>
      <c r="G9" s="95"/>
      <c r="H9" s="95"/>
      <c r="I9" s="95"/>
      <c r="J9" s="95"/>
      <c r="K9" s="123"/>
      <c r="L9" s="123"/>
      <c r="M9" s="123"/>
      <c r="N9" s="123"/>
      <c r="O9" s="124"/>
    </row>
    <row r="10" spans="1:15" s="77" customFormat="1" ht="19.5" customHeight="1" x14ac:dyDescent="0.2">
      <c r="A10" s="125" t="s">
        <v>106</v>
      </c>
      <c r="B10" s="126" t="s">
        <v>124</v>
      </c>
      <c r="C10" s="95">
        <f t="shared" ref="C10:C46" si="0">SUM(D10:O10)</f>
        <v>0</v>
      </c>
      <c r="D10" s="127"/>
      <c r="E10" s="127"/>
      <c r="F10" s="127"/>
      <c r="G10" s="127"/>
      <c r="H10" s="127"/>
      <c r="I10" s="127"/>
      <c r="J10" s="127"/>
      <c r="K10" s="128"/>
      <c r="L10" s="128"/>
      <c r="M10" s="128"/>
      <c r="N10" s="128"/>
      <c r="O10" s="129"/>
    </row>
    <row r="11" spans="1:15" s="77" customFormat="1" ht="19.5" customHeight="1" x14ac:dyDescent="0.2">
      <c r="A11" s="125" t="s">
        <v>112</v>
      </c>
      <c r="B11" s="126" t="s">
        <v>125</v>
      </c>
      <c r="C11" s="95">
        <f t="shared" si="0"/>
        <v>0</v>
      </c>
      <c r="D11" s="127"/>
      <c r="E11" s="127"/>
      <c r="F11" s="127"/>
      <c r="G11" s="127"/>
      <c r="H11" s="127"/>
      <c r="I11" s="127"/>
      <c r="J11" s="127"/>
      <c r="K11" s="128"/>
      <c r="L11" s="128"/>
      <c r="M11" s="128"/>
      <c r="N11" s="128"/>
      <c r="O11" s="129"/>
    </row>
    <row r="12" spans="1:15" s="77" customFormat="1" ht="19.5" customHeight="1" x14ac:dyDescent="0.2">
      <c r="A12" s="125" t="s">
        <v>127</v>
      </c>
      <c r="B12" s="126" t="s">
        <v>126</v>
      </c>
      <c r="C12" s="95">
        <f t="shared" si="0"/>
        <v>0</v>
      </c>
      <c r="D12" s="127"/>
      <c r="E12" s="127"/>
      <c r="F12" s="127"/>
      <c r="G12" s="127"/>
      <c r="H12" s="127"/>
      <c r="I12" s="127"/>
      <c r="J12" s="127"/>
      <c r="K12" s="128"/>
      <c r="L12" s="128"/>
      <c r="M12" s="128"/>
      <c r="N12" s="128"/>
      <c r="O12" s="129"/>
    </row>
    <row r="13" spans="1:15" s="74" customFormat="1" ht="19.5" customHeight="1" x14ac:dyDescent="0.2">
      <c r="A13" s="125" t="s">
        <v>128</v>
      </c>
      <c r="B13" s="130" t="s">
        <v>132</v>
      </c>
      <c r="C13" s="95">
        <f t="shared" si="0"/>
        <v>0</v>
      </c>
      <c r="D13" s="131">
        <f>+D14+D15+D16+D17</f>
        <v>0</v>
      </c>
      <c r="E13" s="131">
        <f t="shared" ref="E13:O13" si="1">+E14+E15+E16+E17</f>
        <v>0</v>
      </c>
      <c r="F13" s="131">
        <f t="shared" si="1"/>
        <v>0</v>
      </c>
      <c r="G13" s="131">
        <f t="shared" si="1"/>
        <v>0</v>
      </c>
      <c r="H13" s="131">
        <f t="shared" si="1"/>
        <v>0</v>
      </c>
      <c r="I13" s="131">
        <f t="shared" si="1"/>
        <v>0</v>
      </c>
      <c r="J13" s="131">
        <f t="shared" si="1"/>
        <v>0</v>
      </c>
      <c r="K13" s="131">
        <f t="shared" si="1"/>
        <v>0</v>
      </c>
      <c r="L13" s="131">
        <f t="shared" si="1"/>
        <v>0</v>
      </c>
      <c r="M13" s="131">
        <f t="shared" si="1"/>
        <v>0</v>
      </c>
      <c r="N13" s="131">
        <f t="shared" si="1"/>
        <v>0</v>
      </c>
      <c r="O13" s="131">
        <f t="shared" si="1"/>
        <v>0</v>
      </c>
    </row>
    <row r="14" spans="1:15" ht="19.5" customHeight="1" x14ac:dyDescent="0.2">
      <c r="A14" s="23" t="s">
        <v>130</v>
      </c>
      <c r="B14" s="132" t="s">
        <v>133</v>
      </c>
      <c r="C14" s="95">
        <f t="shared" si="0"/>
        <v>0</v>
      </c>
      <c r="D14" s="96"/>
      <c r="E14" s="96"/>
      <c r="F14" s="96"/>
      <c r="G14" s="96"/>
      <c r="H14" s="96"/>
      <c r="I14" s="96"/>
      <c r="J14" s="96"/>
      <c r="K14" s="133"/>
      <c r="L14" s="133"/>
      <c r="M14" s="133"/>
      <c r="N14" s="133"/>
      <c r="O14" s="134"/>
    </row>
    <row r="15" spans="1:15" ht="19.5" customHeight="1" x14ac:dyDescent="0.2">
      <c r="A15" s="23" t="s">
        <v>130</v>
      </c>
      <c r="B15" s="132" t="s">
        <v>134</v>
      </c>
      <c r="C15" s="95">
        <f t="shared" si="0"/>
        <v>0</v>
      </c>
      <c r="D15" s="96"/>
      <c r="E15" s="96"/>
      <c r="F15" s="96"/>
      <c r="G15" s="96"/>
      <c r="H15" s="96"/>
      <c r="I15" s="96"/>
      <c r="J15" s="96"/>
      <c r="K15" s="133"/>
      <c r="L15" s="133"/>
      <c r="M15" s="133"/>
      <c r="N15" s="133"/>
      <c r="O15" s="134"/>
    </row>
    <row r="16" spans="1:15" ht="19.5" customHeight="1" x14ac:dyDescent="0.2">
      <c r="A16" s="23" t="s">
        <v>130</v>
      </c>
      <c r="B16" s="132" t="s">
        <v>135</v>
      </c>
      <c r="C16" s="95">
        <f t="shared" si="0"/>
        <v>0</v>
      </c>
      <c r="D16" s="96"/>
      <c r="E16" s="96"/>
      <c r="F16" s="96"/>
      <c r="G16" s="96"/>
      <c r="H16" s="96"/>
      <c r="I16" s="96"/>
      <c r="J16" s="96"/>
      <c r="K16" s="133"/>
      <c r="L16" s="133"/>
      <c r="M16" s="133"/>
      <c r="N16" s="133"/>
      <c r="O16" s="134"/>
    </row>
    <row r="17" spans="1:15" ht="19.5" customHeight="1" x14ac:dyDescent="0.2">
      <c r="A17" s="23" t="s">
        <v>130</v>
      </c>
      <c r="B17" s="132" t="s">
        <v>136</v>
      </c>
      <c r="C17" s="95">
        <f t="shared" si="0"/>
        <v>0</v>
      </c>
      <c r="D17" s="96"/>
      <c r="E17" s="96"/>
      <c r="F17" s="96"/>
      <c r="G17" s="96"/>
      <c r="H17" s="96"/>
      <c r="I17" s="96"/>
      <c r="J17" s="96"/>
      <c r="K17" s="133"/>
      <c r="L17" s="133"/>
      <c r="M17" s="133"/>
      <c r="N17" s="133"/>
      <c r="O17" s="134"/>
    </row>
    <row r="18" spans="1:15" ht="19.5" customHeight="1" x14ac:dyDescent="0.2">
      <c r="A18" s="23" t="s">
        <v>130</v>
      </c>
      <c r="B18" s="132" t="s">
        <v>137</v>
      </c>
      <c r="C18" s="95">
        <f t="shared" si="0"/>
        <v>0</v>
      </c>
      <c r="D18" s="96"/>
      <c r="E18" s="96"/>
      <c r="F18" s="96"/>
      <c r="G18" s="96"/>
      <c r="H18" s="96"/>
      <c r="I18" s="96"/>
      <c r="J18" s="96"/>
      <c r="K18" s="133"/>
      <c r="L18" s="133"/>
      <c r="M18" s="133"/>
      <c r="N18" s="133"/>
      <c r="O18" s="134"/>
    </row>
    <row r="19" spans="1:15" s="74" customFormat="1" ht="19.5" customHeight="1" x14ac:dyDescent="0.2">
      <c r="A19" s="125" t="s">
        <v>129</v>
      </c>
      <c r="B19" s="130" t="s">
        <v>107</v>
      </c>
      <c r="C19" s="95">
        <f t="shared" si="0"/>
        <v>0</v>
      </c>
      <c r="D19" s="131">
        <f>+D20+D21+D22+D23</f>
        <v>0</v>
      </c>
      <c r="E19" s="131">
        <f t="shared" ref="E19:O19" si="2">+E20+E21+E22+E23</f>
        <v>0</v>
      </c>
      <c r="F19" s="131">
        <f t="shared" si="2"/>
        <v>0</v>
      </c>
      <c r="G19" s="131">
        <f t="shared" si="2"/>
        <v>0</v>
      </c>
      <c r="H19" s="131">
        <f t="shared" si="2"/>
        <v>0</v>
      </c>
      <c r="I19" s="131">
        <f t="shared" si="2"/>
        <v>0</v>
      </c>
      <c r="J19" s="131">
        <f t="shared" si="2"/>
        <v>0</v>
      </c>
      <c r="K19" s="131">
        <f t="shared" si="2"/>
        <v>0</v>
      </c>
      <c r="L19" s="131">
        <f t="shared" si="2"/>
        <v>0</v>
      </c>
      <c r="M19" s="131">
        <f t="shared" si="2"/>
        <v>0</v>
      </c>
      <c r="N19" s="131">
        <f t="shared" si="2"/>
        <v>0</v>
      </c>
      <c r="O19" s="131">
        <f t="shared" si="2"/>
        <v>0</v>
      </c>
    </row>
    <row r="20" spans="1:15" ht="19.5" customHeight="1" x14ac:dyDescent="0.2">
      <c r="A20" s="23" t="s">
        <v>130</v>
      </c>
      <c r="B20" s="132" t="s">
        <v>108</v>
      </c>
      <c r="C20" s="95">
        <f t="shared" si="0"/>
        <v>0</v>
      </c>
      <c r="D20" s="96"/>
      <c r="E20" s="96"/>
      <c r="F20" s="96"/>
      <c r="G20" s="96"/>
      <c r="H20" s="96"/>
      <c r="I20" s="96"/>
      <c r="J20" s="96"/>
      <c r="K20" s="133"/>
      <c r="L20" s="133"/>
      <c r="M20" s="133"/>
      <c r="N20" s="133"/>
      <c r="O20" s="134"/>
    </row>
    <row r="21" spans="1:15" ht="19.5" customHeight="1" x14ac:dyDescent="0.2">
      <c r="A21" s="23" t="s">
        <v>130</v>
      </c>
      <c r="B21" s="132" t="s">
        <v>109</v>
      </c>
      <c r="C21" s="95">
        <f t="shared" si="0"/>
        <v>0</v>
      </c>
      <c r="D21" s="96"/>
      <c r="E21" s="96"/>
      <c r="F21" s="96"/>
      <c r="G21" s="96"/>
      <c r="H21" s="96"/>
      <c r="I21" s="96"/>
      <c r="J21" s="96"/>
      <c r="K21" s="133"/>
      <c r="L21" s="133"/>
      <c r="M21" s="133"/>
      <c r="N21" s="133"/>
      <c r="O21" s="134"/>
    </row>
    <row r="22" spans="1:15" ht="19.5" customHeight="1" x14ac:dyDescent="0.2">
      <c r="A22" s="23" t="s">
        <v>130</v>
      </c>
      <c r="B22" s="132" t="s">
        <v>110</v>
      </c>
      <c r="C22" s="95">
        <f t="shared" si="0"/>
        <v>0</v>
      </c>
      <c r="D22" s="96"/>
      <c r="E22" s="96"/>
      <c r="F22" s="96"/>
      <c r="G22" s="96"/>
      <c r="H22" s="96"/>
      <c r="I22" s="96"/>
      <c r="J22" s="96"/>
      <c r="K22" s="133"/>
      <c r="L22" s="133"/>
      <c r="M22" s="133"/>
      <c r="N22" s="133"/>
      <c r="O22" s="134"/>
    </row>
    <row r="23" spans="1:15" ht="19.5" customHeight="1" x14ac:dyDescent="0.2">
      <c r="A23" s="23" t="s">
        <v>130</v>
      </c>
      <c r="B23" s="132" t="s">
        <v>111</v>
      </c>
      <c r="C23" s="95">
        <f t="shared" si="0"/>
        <v>0</v>
      </c>
      <c r="D23" s="96"/>
      <c r="E23" s="96"/>
      <c r="F23" s="96"/>
      <c r="G23" s="96"/>
      <c r="H23" s="96"/>
      <c r="I23" s="96"/>
      <c r="J23" s="96"/>
      <c r="K23" s="133"/>
      <c r="L23" s="133"/>
      <c r="M23" s="133"/>
      <c r="N23" s="133"/>
      <c r="O23" s="134"/>
    </row>
    <row r="24" spans="1:15" s="74" customFormat="1" ht="19.5" customHeight="1" x14ac:dyDescent="0.2">
      <c r="A24" s="125" t="s">
        <v>138</v>
      </c>
      <c r="B24" s="130" t="s">
        <v>113</v>
      </c>
      <c r="C24" s="95">
        <f t="shared" si="0"/>
        <v>0</v>
      </c>
      <c r="D24" s="131">
        <f>+D25+D26+D27</f>
        <v>0</v>
      </c>
      <c r="E24" s="131">
        <f t="shared" ref="E24:O24" si="3">+E25+E26+E27</f>
        <v>0</v>
      </c>
      <c r="F24" s="131">
        <f t="shared" si="3"/>
        <v>0</v>
      </c>
      <c r="G24" s="131">
        <f t="shared" si="3"/>
        <v>0</v>
      </c>
      <c r="H24" s="131">
        <f t="shared" si="3"/>
        <v>0</v>
      </c>
      <c r="I24" s="131">
        <f t="shared" si="3"/>
        <v>0</v>
      </c>
      <c r="J24" s="131">
        <f t="shared" si="3"/>
        <v>0</v>
      </c>
      <c r="K24" s="131">
        <f t="shared" si="3"/>
        <v>0</v>
      </c>
      <c r="L24" s="131">
        <f t="shared" si="3"/>
        <v>0</v>
      </c>
      <c r="M24" s="131">
        <f t="shared" si="3"/>
        <v>0</v>
      </c>
      <c r="N24" s="131">
        <f t="shared" si="3"/>
        <v>0</v>
      </c>
      <c r="O24" s="131">
        <f t="shared" si="3"/>
        <v>0</v>
      </c>
    </row>
    <row r="25" spans="1:15" ht="19.5" customHeight="1" x14ac:dyDescent="0.2">
      <c r="A25" s="23" t="s">
        <v>130</v>
      </c>
      <c r="B25" s="132" t="s">
        <v>114</v>
      </c>
      <c r="C25" s="95">
        <f t="shared" si="0"/>
        <v>0</v>
      </c>
      <c r="D25" s="96"/>
      <c r="E25" s="96"/>
      <c r="F25" s="96"/>
      <c r="G25" s="96"/>
      <c r="H25" s="96"/>
      <c r="I25" s="96"/>
      <c r="J25" s="96"/>
      <c r="K25" s="133"/>
      <c r="L25" s="133"/>
      <c r="M25" s="133"/>
      <c r="N25" s="133"/>
      <c r="O25" s="134"/>
    </row>
    <row r="26" spans="1:15" ht="19.5" customHeight="1" x14ac:dyDescent="0.2">
      <c r="A26" s="23" t="s">
        <v>130</v>
      </c>
      <c r="B26" s="132" t="s">
        <v>110</v>
      </c>
      <c r="C26" s="95">
        <f t="shared" si="0"/>
        <v>0</v>
      </c>
      <c r="D26" s="96"/>
      <c r="E26" s="96"/>
      <c r="F26" s="96"/>
      <c r="G26" s="96"/>
      <c r="H26" s="96"/>
      <c r="I26" s="96"/>
      <c r="J26" s="96"/>
      <c r="K26" s="133"/>
      <c r="L26" s="133"/>
      <c r="M26" s="133"/>
      <c r="N26" s="133"/>
      <c r="O26" s="134"/>
    </row>
    <row r="27" spans="1:15" ht="19.5" customHeight="1" x14ac:dyDescent="0.2">
      <c r="A27" s="23" t="s">
        <v>130</v>
      </c>
      <c r="B27" s="132" t="s">
        <v>111</v>
      </c>
      <c r="C27" s="95">
        <f t="shared" si="0"/>
        <v>0</v>
      </c>
      <c r="D27" s="96"/>
      <c r="E27" s="96"/>
      <c r="F27" s="96"/>
      <c r="G27" s="96"/>
      <c r="H27" s="96"/>
      <c r="I27" s="96"/>
      <c r="J27" s="96"/>
      <c r="K27" s="133"/>
      <c r="L27" s="133"/>
      <c r="M27" s="133"/>
      <c r="N27" s="133"/>
      <c r="O27" s="134"/>
    </row>
    <row r="28" spans="1:15" s="72" customFormat="1" ht="19.5" customHeight="1" x14ac:dyDescent="0.2">
      <c r="A28" s="82">
        <v>2</v>
      </c>
      <c r="B28" s="116" t="s">
        <v>115</v>
      </c>
      <c r="C28" s="95">
        <f t="shared" si="0"/>
        <v>0</v>
      </c>
      <c r="D28" s="95"/>
      <c r="E28" s="95"/>
      <c r="F28" s="95"/>
      <c r="G28" s="95"/>
      <c r="H28" s="95"/>
      <c r="I28" s="95"/>
      <c r="J28" s="95"/>
      <c r="K28" s="123"/>
      <c r="L28" s="123"/>
      <c r="M28" s="123"/>
      <c r="N28" s="123"/>
      <c r="O28" s="124"/>
    </row>
    <row r="29" spans="1:15" s="77" customFormat="1" ht="19.5" customHeight="1" x14ac:dyDescent="0.2">
      <c r="A29" s="125" t="s">
        <v>116</v>
      </c>
      <c r="B29" s="126" t="s">
        <v>124</v>
      </c>
      <c r="C29" s="95">
        <f t="shared" si="0"/>
        <v>0</v>
      </c>
      <c r="D29" s="127"/>
      <c r="E29" s="127"/>
      <c r="F29" s="127"/>
      <c r="G29" s="127"/>
      <c r="H29" s="127"/>
      <c r="I29" s="127"/>
      <c r="J29" s="127"/>
      <c r="K29" s="128"/>
      <c r="L29" s="128"/>
      <c r="M29" s="128"/>
      <c r="N29" s="128"/>
      <c r="O29" s="129"/>
    </row>
    <row r="30" spans="1:15" s="77" customFormat="1" ht="19.5" customHeight="1" x14ac:dyDescent="0.2">
      <c r="A30" s="125" t="s">
        <v>117</v>
      </c>
      <c r="B30" s="126" t="s">
        <v>125</v>
      </c>
      <c r="C30" s="95">
        <f t="shared" si="0"/>
        <v>0</v>
      </c>
      <c r="D30" s="127"/>
      <c r="E30" s="127"/>
      <c r="F30" s="127"/>
      <c r="G30" s="127"/>
      <c r="H30" s="127"/>
      <c r="I30" s="127"/>
      <c r="J30" s="127"/>
      <c r="K30" s="128"/>
      <c r="L30" s="128"/>
      <c r="M30" s="128"/>
      <c r="N30" s="128"/>
      <c r="O30" s="129"/>
    </row>
    <row r="31" spans="1:15" s="77" customFormat="1" ht="19.5" customHeight="1" x14ac:dyDescent="0.2">
      <c r="A31" s="125" t="s">
        <v>131</v>
      </c>
      <c r="B31" s="126" t="s">
        <v>126</v>
      </c>
      <c r="C31" s="95">
        <f t="shared" si="0"/>
        <v>0</v>
      </c>
      <c r="D31" s="127"/>
      <c r="E31" s="127"/>
      <c r="F31" s="127"/>
      <c r="G31" s="127"/>
      <c r="H31" s="127"/>
      <c r="I31" s="127"/>
      <c r="J31" s="127"/>
      <c r="K31" s="128"/>
      <c r="L31" s="128"/>
      <c r="M31" s="128"/>
      <c r="N31" s="128"/>
      <c r="O31" s="129"/>
    </row>
    <row r="32" spans="1:15" s="74" customFormat="1" ht="19.5" customHeight="1" x14ac:dyDescent="0.2">
      <c r="A32" s="125">
        <v>2.4</v>
      </c>
      <c r="B32" s="130" t="s">
        <v>132</v>
      </c>
      <c r="C32" s="95">
        <f t="shared" si="0"/>
        <v>0</v>
      </c>
      <c r="D32" s="131">
        <f>+D33+D34+D35+D36+D37</f>
        <v>0</v>
      </c>
      <c r="E32" s="131">
        <f t="shared" ref="E32:O32" si="4">+E33+E34+E35+E36+E37</f>
        <v>0</v>
      </c>
      <c r="F32" s="131">
        <f t="shared" si="4"/>
        <v>0</v>
      </c>
      <c r="G32" s="131">
        <f t="shared" si="4"/>
        <v>0</v>
      </c>
      <c r="H32" s="131">
        <f t="shared" si="4"/>
        <v>0</v>
      </c>
      <c r="I32" s="131">
        <f t="shared" si="4"/>
        <v>0</v>
      </c>
      <c r="J32" s="131">
        <f t="shared" si="4"/>
        <v>0</v>
      </c>
      <c r="K32" s="131">
        <f t="shared" si="4"/>
        <v>0</v>
      </c>
      <c r="L32" s="131">
        <f t="shared" si="4"/>
        <v>0</v>
      </c>
      <c r="M32" s="131">
        <f t="shared" si="4"/>
        <v>0</v>
      </c>
      <c r="N32" s="131">
        <f t="shared" si="4"/>
        <v>0</v>
      </c>
      <c r="O32" s="131">
        <f t="shared" si="4"/>
        <v>0</v>
      </c>
    </row>
    <row r="33" spans="1:16" ht="19.5" customHeight="1" x14ac:dyDescent="0.2">
      <c r="A33" s="23" t="s">
        <v>130</v>
      </c>
      <c r="B33" s="132" t="s">
        <v>133</v>
      </c>
      <c r="C33" s="95">
        <f t="shared" si="0"/>
        <v>0</v>
      </c>
      <c r="D33" s="96"/>
      <c r="E33" s="96"/>
      <c r="F33" s="96"/>
      <c r="G33" s="96"/>
      <c r="H33" s="96"/>
      <c r="I33" s="96"/>
      <c r="J33" s="96"/>
      <c r="K33" s="133"/>
      <c r="L33" s="133"/>
      <c r="M33" s="133"/>
      <c r="N33" s="133"/>
      <c r="O33" s="134"/>
    </row>
    <row r="34" spans="1:16" ht="19.5" customHeight="1" x14ac:dyDescent="0.2">
      <c r="A34" s="23" t="s">
        <v>130</v>
      </c>
      <c r="B34" s="132" t="s">
        <v>134</v>
      </c>
      <c r="C34" s="95">
        <f t="shared" si="0"/>
        <v>0</v>
      </c>
      <c r="D34" s="96"/>
      <c r="E34" s="96"/>
      <c r="F34" s="96"/>
      <c r="G34" s="96"/>
      <c r="H34" s="96"/>
      <c r="I34" s="96"/>
      <c r="J34" s="96"/>
      <c r="K34" s="133"/>
      <c r="L34" s="133"/>
      <c r="M34" s="133"/>
      <c r="N34" s="133"/>
      <c r="O34" s="134"/>
    </row>
    <row r="35" spans="1:16" ht="19.5" customHeight="1" x14ac:dyDescent="0.2">
      <c r="A35" s="23" t="s">
        <v>130</v>
      </c>
      <c r="B35" s="132" t="s">
        <v>135</v>
      </c>
      <c r="C35" s="95">
        <f t="shared" si="0"/>
        <v>0</v>
      </c>
      <c r="D35" s="96"/>
      <c r="E35" s="96"/>
      <c r="F35" s="96"/>
      <c r="G35" s="96"/>
      <c r="H35" s="96"/>
      <c r="I35" s="96"/>
      <c r="J35" s="96"/>
      <c r="K35" s="133"/>
      <c r="L35" s="133"/>
      <c r="M35" s="133"/>
      <c r="N35" s="133"/>
      <c r="O35" s="134"/>
    </row>
    <row r="36" spans="1:16" ht="19.5" customHeight="1" x14ac:dyDescent="0.2">
      <c r="A36" s="23" t="s">
        <v>130</v>
      </c>
      <c r="B36" s="132" t="s">
        <v>136</v>
      </c>
      <c r="C36" s="95">
        <f t="shared" si="0"/>
        <v>0</v>
      </c>
      <c r="D36" s="96"/>
      <c r="E36" s="96"/>
      <c r="F36" s="96"/>
      <c r="G36" s="96"/>
      <c r="H36" s="96"/>
      <c r="I36" s="96"/>
      <c r="J36" s="96"/>
      <c r="K36" s="133"/>
      <c r="L36" s="133"/>
      <c r="M36" s="133"/>
      <c r="N36" s="133"/>
      <c r="O36" s="134"/>
    </row>
    <row r="37" spans="1:16" ht="19.5" customHeight="1" x14ac:dyDescent="0.2">
      <c r="A37" s="23" t="s">
        <v>130</v>
      </c>
      <c r="B37" s="132" t="s">
        <v>137</v>
      </c>
      <c r="C37" s="95">
        <f t="shared" si="0"/>
        <v>0</v>
      </c>
      <c r="D37" s="96"/>
      <c r="E37" s="96"/>
      <c r="F37" s="96"/>
      <c r="G37" s="96"/>
      <c r="H37" s="96"/>
      <c r="I37" s="96"/>
      <c r="J37" s="96"/>
      <c r="K37" s="133"/>
      <c r="L37" s="133"/>
      <c r="M37" s="133"/>
      <c r="N37" s="133"/>
      <c r="O37" s="134"/>
    </row>
    <row r="38" spans="1:16" s="74" customFormat="1" ht="19.5" customHeight="1" x14ac:dyDescent="0.2">
      <c r="A38" s="125">
        <v>2.5</v>
      </c>
      <c r="B38" s="130" t="s">
        <v>107</v>
      </c>
      <c r="C38" s="95">
        <f t="shared" si="0"/>
        <v>0</v>
      </c>
      <c r="D38" s="131">
        <f>+D39+D40+D41+D42</f>
        <v>0</v>
      </c>
      <c r="E38" s="131">
        <f t="shared" ref="E38:O38" si="5">+E39+E40+E41+E42</f>
        <v>0</v>
      </c>
      <c r="F38" s="131">
        <f t="shared" si="5"/>
        <v>0</v>
      </c>
      <c r="G38" s="131">
        <f t="shared" si="5"/>
        <v>0</v>
      </c>
      <c r="H38" s="131">
        <f t="shared" si="5"/>
        <v>0</v>
      </c>
      <c r="I38" s="131">
        <f t="shared" si="5"/>
        <v>0</v>
      </c>
      <c r="J38" s="131">
        <f t="shared" si="5"/>
        <v>0</v>
      </c>
      <c r="K38" s="131">
        <f t="shared" si="5"/>
        <v>0</v>
      </c>
      <c r="L38" s="131">
        <f t="shared" si="5"/>
        <v>0</v>
      </c>
      <c r="M38" s="131">
        <f t="shared" si="5"/>
        <v>0</v>
      </c>
      <c r="N38" s="131">
        <f t="shared" si="5"/>
        <v>0</v>
      </c>
      <c r="O38" s="131">
        <f t="shared" si="5"/>
        <v>0</v>
      </c>
    </row>
    <row r="39" spans="1:16" ht="19.5" customHeight="1" x14ac:dyDescent="0.2">
      <c r="A39" s="23" t="s">
        <v>130</v>
      </c>
      <c r="B39" s="132" t="s">
        <v>108</v>
      </c>
      <c r="C39" s="95">
        <f t="shared" si="0"/>
        <v>0</v>
      </c>
      <c r="D39" s="96"/>
      <c r="E39" s="96"/>
      <c r="F39" s="96"/>
      <c r="G39" s="96"/>
      <c r="H39" s="96"/>
      <c r="I39" s="96"/>
      <c r="J39" s="96"/>
      <c r="K39" s="133"/>
      <c r="L39" s="133"/>
      <c r="M39" s="133"/>
      <c r="N39" s="133"/>
      <c r="O39" s="134"/>
    </row>
    <row r="40" spans="1:16" ht="19.5" customHeight="1" x14ac:dyDescent="0.2">
      <c r="A40" s="23" t="s">
        <v>130</v>
      </c>
      <c r="B40" s="132" t="s">
        <v>109</v>
      </c>
      <c r="C40" s="95">
        <f t="shared" si="0"/>
        <v>0</v>
      </c>
      <c r="D40" s="96"/>
      <c r="E40" s="96"/>
      <c r="F40" s="96"/>
      <c r="G40" s="96"/>
      <c r="H40" s="96"/>
      <c r="I40" s="96"/>
      <c r="J40" s="96"/>
      <c r="K40" s="133"/>
      <c r="L40" s="133"/>
      <c r="M40" s="133"/>
      <c r="N40" s="133"/>
      <c r="O40" s="134"/>
    </row>
    <row r="41" spans="1:16" ht="19.5" customHeight="1" x14ac:dyDescent="0.2">
      <c r="A41" s="23" t="s">
        <v>130</v>
      </c>
      <c r="B41" s="132" t="s">
        <v>110</v>
      </c>
      <c r="C41" s="95">
        <f t="shared" si="0"/>
        <v>0</v>
      </c>
      <c r="D41" s="96"/>
      <c r="E41" s="96"/>
      <c r="F41" s="96"/>
      <c r="G41" s="96"/>
      <c r="H41" s="96"/>
      <c r="I41" s="96"/>
      <c r="J41" s="96"/>
      <c r="K41" s="133"/>
      <c r="L41" s="133"/>
      <c r="M41" s="133"/>
      <c r="N41" s="133"/>
      <c r="O41" s="134"/>
    </row>
    <row r="42" spans="1:16" ht="19.5" customHeight="1" x14ac:dyDescent="0.2">
      <c r="A42" s="23" t="s">
        <v>130</v>
      </c>
      <c r="B42" s="132" t="s">
        <v>111</v>
      </c>
      <c r="C42" s="95">
        <f t="shared" si="0"/>
        <v>0</v>
      </c>
      <c r="D42" s="96"/>
      <c r="E42" s="96"/>
      <c r="F42" s="96"/>
      <c r="G42" s="96"/>
      <c r="H42" s="96"/>
      <c r="I42" s="96"/>
      <c r="J42" s="96"/>
      <c r="K42" s="133"/>
      <c r="L42" s="133"/>
      <c r="M42" s="133"/>
      <c r="N42" s="133"/>
      <c r="O42" s="134"/>
    </row>
    <row r="43" spans="1:16" s="74" customFormat="1" ht="19.5" customHeight="1" x14ac:dyDescent="0.2">
      <c r="A43" s="125">
        <v>2.6</v>
      </c>
      <c r="B43" s="130" t="s">
        <v>113</v>
      </c>
      <c r="C43" s="95">
        <f t="shared" si="0"/>
        <v>0</v>
      </c>
      <c r="D43" s="131">
        <f>+D44+D45+D46</f>
        <v>0</v>
      </c>
      <c r="E43" s="131">
        <f t="shared" ref="E43:O43" si="6">+E44+E45+E46</f>
        <v>0</v>
      </c>
      <c r="F43" s="131">
        <f t="shared" si="6"/>
        <v>0</v>
      </c>
      <c r="G43" s="131">
        <f t="shared" si="6"/>
        <v>0</v>
      </c>
      <c r="H43" s="131">
        <f t="shared" si="6"/>
        <v>0</v>
      </c>
      <c r="I43" s="131">
        <f t="shared" si="6"/>
        <v>0</v>
      </c>
      <c r="J43" s="131">
        <f t="shared" si="6"/>
        <v>0</v>
      </c>
      <c r="K43" s="131">
        <f t="shared" si="6"/>
        <v>0</v>
      </c>
      <c r="L43" s="131">
        <f t="shared" si="6"/>
        <v>0</v>
      </c>
      <c r="M43" s="131">
        <f t="shared" si="6"/>
        <v>0</v>
      </c>
      <c r="N43" s="131">
        <f t="shared" si="6"/>
        <v>0</v>
      </c>
      <c r="O43" s="131">
        <f t="shared" si="6"/>
        <v>0</v>
      </c>
    </row>
    <row r="44" spans="1:16" ht="19.5" customHeight="1" x14ac:dyDescent="0.2">
      <c r="A44" s="23" t="s">
        <v>130</v>
      </c>
      <c r="B44" s="132" t="s">
        <v>114</v>
      </c>
      <c r="C44" s="95">
        <f t="shared" si="0"/>
        <v>0</v>
      </c>
      <c r="D44" s="96"/>
      <c r="E44" s="96"/>
      <c r="F44" s="96"/>
      <c r="G44" s="96"/>
      <c r="H44" s="96"/>
      <c r="I44" s="96"/>
      <c r="J44" s="96"/>
      <c r="K44" s="133"/>
      <c r="L44" s="133"/>
      <c r="M44" s="133"/>
      <c r="N44" s="133"/>
      <c r="O44" s="134"/>
    </row>
    <row r="45" spans="1:16" ht="19.5" customHeight="1" x14ac:dyDescent="0.2">
      <c r="A45" s="23" t="s">
        <v>130</v>
      </c>
      <c r="B45" s="132" t="s">
        <v>110</v>
      </c>
      <c r="C45" s="95">
        <f t="shared" si="0"/>
        <v>0</v>
      </c>
      <c r="D45" s="96"/>
      <c r="E45" s="96"/>
      <c r="F45" s="96"/>
      <c r="G45" s="96"/>
      <c r="H45" s="96"/>
      <c r="I45" s="96"/>
      <c r="J45" s="96"/>
      <c r="K45" s="133"/>
      <c r="L45" s="133"/>
      <c r="M45" s="133"/>
      <c r="N45" s="133"/>
      <c r="O45" s="134"/>
    </row>
    <row r="46" spans="1:16" ht="19.5" customHeight="1" x14ac:dyDescent="0.2">
      <c r="A46" s="23" t="s">
        <v>130</v>
      </c>
      <c r="B46" s="132" t="s">
        <v>111</v>
      </c>
      <c r="C46" s="95">
        <f t="shared" si="0"/>
        <v>0</v>
      </c>
      <c r="D46" s="96"/>
      <c r="E46" s="96"/>
      <c r="F46" s="96"/>
      <c r="G46" s="96"/>
      <c r="H46" s="96"/>
      <c r="I46" s="96"/>
      <c r="J46" s="96"/>
      <c r="K46" s="133"/>
      <c r="L46" s="133"/>
      <c r="M46" s="133"/>
      <c r="N46" s="133"/>
      <c r="O46" s="134"/>
    </row>
    <row r="47" spans="1:16" ht="16" x14ac:dyDescent="0.2">
      <c r="A47" s="135"/>
      <c r="B47" s="310" t="s">
        <v>8</v>
      </c>
      <c r="C47" s="310"/>
      <c r="D47" s="310"/>
      <c r="E47" s="310"/>
      <c r="F47" s="310"/>
      <c r="G47" s="105"/>
      <c r="H47" s="105"/>
      <c r="I47" s="105"/>
      <c r="J47" s="105"/>
      <c r="K47" s="105"/>
      <c r="L47" s="250" t="s">
        <v>9</v>
      </c>
      <c r="M47" s="250"/>
      <c r="N47" s="250"/>
      <c r="O47" s="250"/>
      <c r="P47" s="66"/>
    </row>
    <row r="48" spans="1:16" ht="16" x14ac:dyDescent="0.2">
      <c r="A48" s="135"/>
      <c r="B48" s="341" t="s">
        <v>33</v>
      </c>
      <c r="C48" s="341"/>
      <c r="D48" s="341"/>
      <c r="E48" s="341"/>
      <c r="F48" s="341"/>
      <c r="G48" s="105"/>
      <c r="H48" s="105"/>
      <c r="I48" s="105"/>
      <c r="J48" s="105"/>
      <c r="K48" s="105"/>
      <c r="L48" s="251" t="s">
        <v>34</v>
      </c>
      <c r="M48" s="251"/>
      <c r="N48" s="251"/>
      <c r="O48" s="251"/>
      <c r="P48" s="66"/>
    </row>
    <row r="49" spans="1:15" x14ac:dyDescent="0.2">
      <c r="A49" s="135"/>
      <c r="B49" s="136"/>
      <c r="C49" s="136"/>
      <c r="D49" s="136"/>
      <c r="E49" s="136"/>
      <c r="F49" s="136"/>
      <c r="G49" s="136"/>
      <c r="H49" s="136"/>
      <c r="I49" s="136"/>
      <c r="J49" s="136"/>
      <c r="K49" s="137"/>
      <c r="L49" s="137"/>
      <c r="M49" s="137"/>
      <c r="N49" s="137"/>
      <c r="O49" s="136"/>
    </row>
  </sheetData>
  <mergeCells count="16">
    <mergeCell ref="B47:F47"/>
    <mergeCell ref="L47:O47"/>
    <mergeCell ref="B48:F48"/>
    <mergeCell ref="L48:O48"/>
    <mergeCell ref="A1:D1"/>
    <mergeCell ref="A2:D2"/>
    <mergeCell ref="A3:O3"/>
    <mergeCell ref="A4:O4"/>
    <mergeCell ref="D6:O6"/>
    <mergeCell ref="A8:B8"/>
    <mergeCell ref="I5:J5"/>
    <mergeCell ref="A6:B7"/>
    <mergeCell ref="C6:C7"/>
    <mergeCell ref="N5:O5"/>
    <mergeCell ref="K1:O1"/>
    <mergeCell ref="K2:O2"/>
  </mergeCells>
  <phoneticPr fontId="19" type="noConversion"/>
  <pageMargins left="0.25" right="0.25" top="0.42" bottom="0.31" header="0.3" footer="0.3"/>
  <pageSetup paperSize="9" scale="92"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pageSetUpPr fitToPage="1"/>
  </sheetPr>
  <dimension ref="A1:F24"/>
  <sheetViews>
    <sheetView showGridLines="0" zoomScaleNormal="100" zoomScaleSheetLayoutView="100" workbookViewId="0">
      <selection activeCell="E1" sqref="E1:M1048576"/>
    </sheetView>
  </sheetViews>
  <sheetFormatPr baseColWidth="10" defaultColWidth="9.1640625" defaultRowHeight="16" x14ac:dyDescent="0.2"/>
  <cols>
    <col min="1" max="1" width="42.6640625" style="7" customWidth="1"/>
    <col min="2" max="2" width="29.1640625" style="12" customWidth="1"/>
    <col min="3" max="3" width="29.1640625" style="1" customWidth="1"/>
    <col min="4" max="16384" width="9.1640625" style="1"/>
  </cols>
  <sheetData>
    <row r="1" spans="1:4" ht="36.75" customHeight="1" x14ac:dyDescent="0.2">
      <c r="A1" s="13" t="s">
        <v>238</v>
      </c>
      <c r="B1" s="2"/>
      <c r="C1" s="212" t="s">
        <v>0</v>
      </c>
    </row>
    <row r="2" spans="1:4" ht="17" x14ac:dyDescent="0.2">
      <c r="A2" s="21" t="s">
        <v>4</v>
      </c>
      <c r="B2" s="138"/>
      <c r="C2" s="87" t="s">
        <v>240</v>
      </c>
    </row>
    <row r="3" spans="1:4" s="3" customFormat="1" ht="41.25" customHeight="1" x14ac:dyDescent="0.2">
      <c r="A3" s="306" t="s">
        <v>222</v>
      </c>
      <c r="B3" s="306"/>
      <c r="C3" s="306"/>
    </row>
    <row r="4" spans="1:4" s="3" customFormat="1" ht="21" customHeight="1" x14ac:dyDescent="0.2">
      <c r="A4" s="20"/>
      <c r="B4" s="20"/>
      <c r="C4" s="167" t="s">
        <v>224</v>
      </c>
    </row>
    <row r="5" spans="1:4" s="3" customFormat="1" ht="42.75" customHeight="1" x14ac:dyDescent="0.2">
      <c r="A5" s="309" t="s">
        <v>88</v>
      </c>
      <c r="B5" s="338" t="s">
        <v>205</v>
      </c>
      <c r="C5" s="340"/>
    </row>
    <row r="6" spans="1:4" s="34" customFormat="1" ht="42.75" customHeight="1" x14ac:dyDescent="0.2">
      <c r="A6" s="309"/>
      <c r="B6" s="89" t="s">
        <v>266</v>
      </c>
      <c r="C6" s="110" t="s">
        <v>22</v>
      </c>
    </row>
    <row r="7" spans="1:4" s="28" customFormat="1" ht="30.75" customHeight="1" x14ac:dyDescent="0.2">
      <c r="A7" s="99" t="s">
        <v>197</v>
      </c>
      <c r="B7" s="23"/>
      <c r="C7" s="23"/>
      <c r="D7" s="49"/>
    </row>
    <row r="8" spans="1:4" ht="30.75" customHeight="1" x14ac:dyDescent="0.2">
      <c r="A8" s="99" t="s">
        <v>198</v>
      </c>
      <c r="B8" s="23"/>
      <c r="C8" s="23"/>
    </row>
    <row r="9" spans="1:4" ht="30.75" customHeight="1" x14ac:dyDescent="0.2">
      <c r="A9" s="100" t="s">
        <v>199</v>
      </c>
      <c r="B9" s="23">
        <f>+B10+B11</f>
        <v>0</v>
      </c>
      <c r="C9" s="23">
        <f>+C10+C11</f>
        <v>0</v>
      </c>
    </row>
    <row r="10" spans="1:4" ht="30.75" customHeight="1" x14ac:dyDescent="0.2">
      <c r="A10" s="114" t="s">
        <v>27</v>
      </c>
      <c r="B10" s="23"/>
      <c r="C10" s="23"/>
    </row>
    <row r="11" spans="1:4" ht="30.75" customHeight="1" x14ac:dyDescent="0.2">
      <c r="A11" s="114" t="s">
        <v>28</v>
      </c>
      <c r="B11" s="23"/>
      <c r="C11" s="23"/>
    </row>
    <row r="12" spans="1:4" ht="30.75" customHeight="1" x14ac:dyDescent="0.2">
      <c r="A12" s="100" t="s">
        <v>200</v>
      </c>
      <c r="B12" s="23"/>
      <c r="C12" s="23"/>
    </row>
    <row r="13" spans="1:4" ht="30.75" customHeight="1" x14ac:dyDescent="0.2">
      <c r="A13" s="100" t="s">
        <v>201</v>
      </c>
      <c r="B13" s="23"/>
      <c r="C13" s="23"/>
    </row>
    <row r="14" spans="1:4" ht="30.75" customHeight="1" x14ac:dyDescent="0.2">
      <c r="A14" s="100" t="s">
        <v>202</v>
      </c>
      <c r="B14" s="23">
        <f>+B15+B16+B17</f>
        <v>0</v>
      </c>
      <c r="C14" s="23">
        <f>+C15+C16+C17</f>
        <v>0</v>
      </c>
    </row>
    <row r="15" spans="1:4" ht="30.75" customHeight="1" x14ac:dyDescent="0.2">
      <c r="A15" s="114" t="s">
        <v>29</v>
      </c>
      <c r="B15" s="23"/>
      <c r="C15" s="23"/>
    </row>
    <row r="16" spans="1:4" ht="30.75" customHeight="1" x14ac:dyDescent="0.2">
      <c r="A16" s="114" t="s">
        <v>30</v>
      </c>
      <c r="B16" s="23"/>
      <c r="C16" s="23"/>
    </row>
    <row r="17" spans="1:6" ht="30.75" customHeight="1" x14ac:dyDescent="0.2">
      <c r="A17" s="114" t="s">
        <v>31</v>
      </c>
      <c r="B17" s="23"/>
      <c r="C17" s="23"/>
    </row>
    <row r="18" spans="1:6" ht="30.75" customHeight="1" x14ac:dyDescent="0.2">
      <c r="A18" s="100" t="s">
        <v>203</v>
      </c>
      <c r="B18" s="82"/>
      <c r="C18" s="82"/>
    </row>
    <row r="19" spans="1:6" ht="30.75" customHeight="1" x14ac:dyDescent="0.2">
      <c r="A19" s="100" t="s">
        <v>204</v>
      </c>
      <c r="B19" s="115"/>
      <c r="C19" s="115"/>
    </row>
    <row r="20" spans="1:6" ht="27" customHeight="1" x14ac:dyDescent="0.2">
      <c r="A20" s="83" t="s">
        <v>99</v>
      </c>
      <c r="B20" s="207">
        <f>+B7+B8+B9+B12+B13+B14+B18+B19</f>
        <v>0</v>
      </c>
      <c r="C20" s="207">
        <f>+C7+C8+C9+C12+C13+C14+C18+C19</f>
        <v>0</v>
      </c>
    </row>
    <row r="21" spans="1:6" ht="18" x14ac:dyDescent="0.2">
      <c r="A21" s="85"/>
      <c r="B21" s="86"/>
      <c r="C21" s="86"/>
    </row>
    <row r="22" spans="1:6" s="62" customFormat="1" ht="23.25" customHeight="1" x14ac:dyDescent="0.2">
      <c r="A22" s="348" t="s">
        <v>8</v>
      </c>
      <c r="B22" s="348"/>
      <c r="C22" s="31" t="s">
        <v>9</v>
      </c>
      <c r="E22" s="63"/>
      <c r="F22" s="49"/>
    </row>
    <row r="23" spans="1:6" s="62" customFormat="1" ht="27.75" customHeight="1" x14ac:dyDescent="0.2">
      <c r="A23" s="347" t="s">
        <v>33</v>
      </c>
      <c r="B23" s="347"/>
      <c r="C23" s="64" t="s">
        <v>34</v>
      </c>
      <c r="E23" s="63"/>
      <c r="F23" s="49"/>
    </row>
    <row r="24" spans="1:6" x14ac:dyDescent="0.2">
      <c r="A24" s="28"/>
      <c r="B24" s="28"/>
      <c r="C24" s="33"/>
    </row>
  </sheetData>
  <mergeCells count="5">
    <mergeCell ref="A23:B23"/>
    <mergeCell ref="B5:C5"/>
    <mergeCell ref="A5:A6"/>
    <mergeCell ref="A22:B22"/>
    <mergeCell ref="A3:C3"/>
  </mergeCells>
  <printOptions horizontalCentered="1"/>
  <pageMargins left="0.23622047244094491" right="0.23622047244094491" top="0.74803149606299213" bottom="0.74803149606299213" header="0.31496062992125984" footer="0.31496062992125984"/>
  <pageSetup paperSize="9" scale="90" orientation="portrait" r:id="rId1"/>
  <headerFooter differentFirst="1">
    <oddFooter>&amp;C&amp;P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pageSetUpPr fitToPage="1"/>
  </sheetPr>
  <dimension ref="A1:M25"/>
  <sheetViews>
    <sheetView zoomScale="85" zoomScaleNormal="85" workbookViewId="0">
      <selection activeCell="O1" sqref="O1:V1048576"/>
    </sheetView>
  </sheetViews>
  <sheetFormatPr baseColWidth="10" defaultColWidth="9" defaultRowHeight="16" x14ac:dyDescent="0.2"/>
  <cols>
    <col min="1" max="1" width="40.6640625" style="68" customWidth="1"/>
    <col min="2" max="3" width="9" style="68" customWidth="1"/>
    <col min="4" max="4" width="7" style="68" customWidth="1"/>
    <col min="5" max="6" width="10.83203125" style="68" customWidth="1"/>
    <col min="7" max="9" width="9" style="68" customWidth="1"/>
    <col min="10" max="10" width="7.83203125" style="68" customWidth="1"/>
    <col min="11" max="11" width="6.83203125" style="68" customWidth="1"/>
    <col min="12" max="12" width="10.6640625" style="68" customWidth="1"/>
    <col min="13" max="13" width="9" style="68" customWidth="1"/>
    <col min="14" max="16384" width="9" style="68"/>
  </cols>
  <sheetData>
    <row r="1" spans="1:13" ht="38.25" customHeight="1" x14ac:dyDescent="0.2">
      <c r="A1" s="13" t="s">
        <v>238</v>
      </c>
      <c r="B1" s="61"/>
      <c r="C1" s="61"/>
      <c r="D1" s="155"/>
      <c r="E1" s="155"/>
      <c r="F1" s="155"/>
      <c r="G1" s="155"/>
      <c r="H1" s="293" t="s">
        <v>0</v>
      </c>
      <c r="I1" s="293"/>
      <c r="J1" s="293"/>
      <c r="K1" s="293"/>
      <c r="L1" s="293"/>
      <c r="M1" s="293"/>
    </row>
    <row r="2" spans="1:13" ht="17" x14ac:dyDescent="0.2">
      <c r="A2" s="13" t="s">
        <v>4</v>
      </c>
      <c r="B2" s="61"/>
      <c r="C2" s="61"/>
      <c r="D2" s="155"/>
      <c r="E2" s="155"/>
      <c r="F2" s="155"/>
      <c r="G2" s="155"/>
      <c r="H2" s="343" t="s">
        <v>100</v>
      </c>
      <c r="I2" s="343"/>
      <c r="J2" s="343"/>
      <c r="K2" s="343"/>
      <c r="L2" s="343"/>
      <c r="M2" s="343"/>
    </row>
    <row r="3" spans="1:13" ht="31.25" customHeight="1" x14ac:dyDescent="0.2">
      <c r="A3" s="332" t="s">
        <v>220</v>
      </c>
      <c r="B3" s="332"/>
      <c r="C3" s="332"/>
      <c r="D3" s="332"/>
      <c r="E3" s="332"/>
      <c r="F3" s="332"/>
      <c r="G3" s="332"/>
      <c r="H3" s="332"/>
      <c r="I3" s="332"/>
      <c r="J3" s="332"/>
      <c r="K3" s="332"/>
      <c r="L3" s="332"/>
      <c r="M3" s="332"/>
    </row>
    <row r="4" spans="1:13" x14ac:dyDescent="0.2">
      <c r="A4" s="61"/>
      <c r="B4" s="61"/>
      <c r="C4" s="61"/>
      <c r="D4" s="61"/>
      <c r="E4" s="61"/>
      <c r="F4" s="61"/>
      <c r="G4" s="155"/>
      <c r="H4" s="155"/>
      <c r="I4" s="155"/>
      <c r="J4" s="155"/>
      <c r="K4" s="155"/>
      <c r="L4" s="353" t="s">
        <v>226</v>
      </c>
      <c r="M4" s="353"/>
    </row>
    <row r="5" spans="1:13" ht="22.5" customHeight="1" x14ac:dyDescent="0.2">
      <c r="A5" s="336" t="s">
        <v>98</v>
      </c>
      <c r="B5" s="309" t="s">
        <v>169</v>
      </c>
      <c r="C5" s="309"/>
      <c r="D5" s="309"/>
      <c r="E5" s="309"/>
      <c r="F5" s="309"/>
      <c r="G5" s="309"/>
      <c r="H5" s="309"/>
      <c r="I5" s="309"/>
      <c r="J5" s="309"/>
      <c r="K5" s="309"/>
      <c r="L5" s="309"/>
      <c r="M5" s="309"/>
    </row>
    <row r="6" spans="1:13" ht="23.25" customHeight="1" x14ac:dyDescent="0.2">
      <c r="A6" s="337"/>
      <c r="B6" s="352" t="s">
        <v>170</v>
      </c>
      <c r="C6" s="352"/>
      <c r="D6" s="352"/>
      <c r="E6" s="352" t="s">
        <v>171</v>
      </c>
      <c r="F6" s="352"/>
      <c r="G6" s="352" t="s">
        <v>172</v>
      </c>
      <c r="H6" s="352"/>
      <c r="I6" s="352"/>
      <c r="J6" s="352"/>
      <c r="K6" s="352"/>
      <c r="L6" s="352"/>
      <c r="M6" s="352"/>
    </row>
    <row r="7" spans="1:13" ht="83.25" customHeight="1" x14ac:dyDescent="0.2">
      <c r="A7" s="90"/>
      <c r="B7" s="19" t="s">
        <v>173</v>
      </c>
      <c r="C7" s="19" t="s">
        <v>174</v>
      </c>
      <c r="D7" s="19" t="s">
        <v>175</v>
      </c>
      <c r="E7" s="19" t="s">
        <v>176</v>
      </c>
      <c r="F7" s="19" t="s">
        <v>175</v>
      </c>
      <c r="G7" s="97" t="s">
        <v>177</v>
      </c>
      <c r="H7" s="97" t="s">
        <v>178</v>
      </c>
      <c r="I7" s="97" t="s">
        <v>179</v>
      </c>
      <c r="J7" s="97" t="s">
        <v>180</v>
      </c>
      <c r="K7" s="97" t="s">
        <v>181</v>
      </c>
      <c r="L7" s="97" t="s">
        <v>182</v>
      </c>
      <c r="M7" s="97" t="s">
        <v>183</v>
      </c>
    </row>
    <row r="8" spans="1:13" ht="23.25" customHeight="1" x14ac:dyDescent="0.2">
      <c r="A8" s="349" t="s">
        <v>234</v>
      </c>
      <c r="B8" s="350"/>
      <c r="C8" s="350"/>
      <c r="D8" s="350"/>
      <c r="E8" s="350"/>
      <c r="F8" s="350"/>
      <c r="G8" s="350"/>
      <c r="H8" s="350"/>
      <c r="I8" s="350"/>
      <c r="J8" s="350"/>
      <c r="K8" s="350"/>
      <c r="L8" s="350"/>
      <c r="M8" s="351"/>
    </row>
    <row r="9" spans="1:13" ht="22.25" customHeight="1" x14ac:dyDescent="0.2">
      <c r="A9" s="100" t="s">
        <v>26</v>
      </c>
      <c r="B9" s="23"/>
      <c r="C9" s="23"/>
      <c r="D9" s="23"/>
      <c r="E9" s="19"/>
      <c r="F9" s="19"/>
      <c r="G9" s="132"/>
      <c r="H9" s="156"/>
      <c r="I9" s="156"/>
      <c r="J9" s="156"/>
      <c r="K9" s="157"/>
      <c r="L9" s="156"/>
      <c r="M9" s="156"/>
    </row>
    <row r="10" spans="1:13" ht="39.75" customHeight="1" x14ac:dyDescent="0.2">
      <c r="A10" s="99" t="s">
        <v>76</v>
      </c>
      <c r="B10" s="23"/>
      <c r="C10" s="23"/>
      <c r="D10" s="23"/>
      <c r="E10" s="23"/>
      <c r="F10" s="23"/>
      <c r="G10" s="132"/>
      <c r="H10" s="132"/>
      <c r="I10" s="132"/>
      <c r="J10" s="132"/>
      <c r="K10" s="132"/>
      <c r="L10" s="132"/>
      <c r="M10" s="132"/>
    </row>
    <row r="11" spans="1:13" ht="20.25" customHeight="1" x14ac:dyDescent="0.2">
      <c r="A11" s="99" t="s">
        <v>77</v>
      </c>
      <c r="B11" s="23"/>
      <c r="C11" s="23"/>
      <c r="D11" s="23"/>
      <c r="E11" s="23"/>
      <c r="F11" s="23"/>
      <c r="G11" s="132"/>
      <c r="H11" s="132"/>
      <c r="I11" s="132"/>
      <c r="J11" s="132"/>
      <c r="K11" s="132"/>
      <c r="L11" s="132"/>
      <c r="M11" s="132"/>
    </row>
    <row r="12" spans="1:13" ht="20.25" customHeight="1" x14ac:dyDescent="0.2">
      <c r="A12" s="100" t="s">
        <v>185</v>
      </c>
      <c r="B12" s="23">
        <f>+B13+B14</f>
        <v>0</v>
      </c>
      <c r="C12" s="23">
        <f t="shared" ref="C12" si="0">+C13+C14</f>
        <v>0</v>
      </c>
      <c r="D12" s="23">
        <f t="shared" ref="D12" si="1">+D13+D14</f>
        <v>0</v>
      </c>
      <c r="E12" s="23">
        <f t="shared" ref="E12" si="2">+E13+E14</f>
        <v>0</v>
      </c>
      <c r="F12" s="23">
        <f t="shared" ref="F12" si="3">+F13+F14</f>
        <v>0</v>
      </c>
      <c r="G12" s="132">
        <f t="shared" ref="G12" si="4">+G13+G14</f>
        <v>0</v>
      </c>
      <c r="H12" s="132">
        <f t="shared" ref="H12" si="5">+H13+H14</f>
        <v>0</v>
      </c>
      <c r="I12" s="132">
        <f t="shared" ref="I12" si="6">+I13+I14</f>
        <v>0</v>
      </c>
      <c r="J12" s="132">
        <f t="shared" ref="J12" si="7">+J13+J14</f>
        <v>0</v>
      </c>
      <c r="K12" s="132">
        <f t="shared" ref="K12" si="8">+K13+K14</f>
        <v>0</v>
      </c>
      <c r="L12" s="132">
        <f t="shared" ref="L12" si="9">+L13+L14</f>
        <v>0</v>
      </c>
      <c r="M12" s="132">
        <f t="shared" ref="M12" si="10">+M13+M14</f>
        <v>0</v>
      </c>
    </row>
    <row r="13" spans="1:13" ht="20.25" customHeight="1" x14ac:dyDescent="0.2">
      <c r="A13" s="114" t="s">
        <v>27</v>
      </c>
      <c r="B13" s="23"/>
      <c r="C13" s="23"/>
      <c r="D13" s="23"/>
      <c r="E13" s="23"/>
      <c r="F13" s="23"/>
      <c r="G13" s="132"/>
      <c r="H13" s="132"/>
      <c r="I13" s="132"/>
      <c r="J13" s="132"/>
      <c r="K13" s="132"/>
      <c r="L13" s="132"/>
      <c r="M13" s="132"/>
    </row>
    <row r="14" spans="1:13" ht="20.25" customHeight="1" x14ac:dyDescent="0.2">
      <c r="A14" s="114" t="s">
        <v>28</v>
      </c>
      <c r="B14" s="23"/>
      <c r="C14" s="23"/>
      <c r="D14" s="23"/>
      <c r="E14" s="23"/>
      <c r="F14" s="23"/>
      <c r="G14" s="132"/>
      <c r="H14" s="132"/>
      <c r="I14" s="132"/>
      <c r="J14" s="132"/>
      <c r="K14" s="132"/>
      <c r="L14" s="132"/>
      <c r="M14" s="132"/>
    </row>
    <row r="15" spans="1:13" ht="20.25" customHeight="1" x14ac:dyDescent="0.2">
      <c r="A15" s="100" t="s">
        <v>78</v>
      </c>
      <c r="B15" s="23"/>
      <c r="C15" s="23"/>
      <c r="D15" s="23"/>
      <c r="E15" s="23"/>
      <c r="F15" s="23"/>
      <c r="G15" s="132"/>
      <c r="H15" s="132"/>
      <c r="I15" s="132"/>
      <c r="J15" s="132"/>
      <c r="K15" s="132"/>
      <c r="L15" s="132"/>
      <c r="M15" s="132"/>
    </row>
    <row r="16" spans="1:13" ht="20.25" customHeight="1" x14ac:dyDescent="0.2">
      <c r="A16" s="100" t="s">
        <v>79</v>
      </c>
      <c r="B16" s="23"/>
      <c r="C16" s="23"/>
      <c r="D16" s="23"/>
      <c r="E16" s="23"/>
      <c r="F16" s="23"/>
      <c r="G16" s="132"/>
      <c r="H16" s="132"/>
      <c r="I16" s="132"/>
      <c r="J16" s="132"/>
      <c r="K16" s="132"/>
      <c r="L16" s="132"/>
      <c r="M16" s="132"/>
    </row>
    <row r="17" spans="1:13" ht="20.25" customHeight="1" x14ac:dyDescent="0.2">
      <c r="A17" s="100" t="s">
        <v>101</v>
      </c>
      <c r="B17" s="23">
        <f>+B18+B19+B20</f>
        <v>0</v>
      </c>
      <c r="C17" s="23">
        <f t="shared" ref="C17" si="11">+C18+C19+C20</f>
        <v>0</v>
      </c>
      <c r="D17" s="23">
        <f t="shared" ref="D17" si="12">+D18+D19+D20</f>
        <v>0</v>
      </c>
      <c r="E17" s="23">
        <f t="shared" ref="E17" si="13">+E18+E19+E20</f>
        <v>0</v>
      </c>
      <c r="F17" s="23">
        <f t="shared" ref="F17" si="14">+F18+F19+F20</f>
        <v>0</v>
      </c>
      <c r="G17" s="132">
        <f t="shared" ref="G17" si="15">+G18+G19+G20</f>
        <v>0</v>
      </c>
      <c r="H17" s="132">
        <f t="shared" ref="H17" si="16">+H18+H19+H20</f>
        <v>0</v>
      </c>
      <c r="I17" s="132">
        <f t="shared" ref="I17" si="17">+I18+I19+I20</f>
        <v>0</v>
      </c>
      <c r="J17" s="132">
        <f t="shared" ref="J17" si="18">+J18+J19+J20</f>
        <v>0</v>
      </c>
      <c r="K17" s="132">
        <f t="shared" ref="K17" si="19">+K18+K19+K20</f>
        <v>0</v>
      </c>
      <c r="L17" s="132">
        <f t="shared" ref="L17" si="20">+L18+L19+L20</f>
        <v>0</v>
      </c>
      <c r="M17" s="132">
        <f t="shared" ref="M17" si="21">+M18+M19+M20</f>
        <v>0</v>
      </c>
    </row>
    <row r="18" spans="1:13" ht="20.25" customHeight="1" x14ac:dyDescent="0.2">
      <c r="A18" s="114" t="s">
        <v>29</v>
      </c>
      <c r="B18" s="23"/>
      <c r="C18" s="23"/>
      <c r="D18" s="23"/>
      <c r="E18" s="23"/>
      <c r="F18" s="23"/>
      <c r="G18" s="132"/>
      <c r="H18" s="132"/>
      <c r="I18" s="132"/>
      <c r="J18" s="132"/>
      <c r="K18" s="132"/>
      <c r="L18" s="132"/>
      <c r="M18" s="132"/>
    </row>
    <row r="19" spans="1:13" ht="20.25" customHeight="1" x14ac:dyDescent="0.2">
      <c r="A19" s="114" t="s">
        <v>30</v>
      </c>
      <c r="B19" s="23"/>
      <c r="C19" s="23"/>
      <c r="D19" s="23"/>
      <c r="E19" s="23"/>
      <c r="F19" s="23"/>
      <c r="G19" s="132"/>
      <c r="H19" s="132"/>
      <c r="I19" s="132"/>
      <c r="J19" s="132"/>
      <c r="K19" s="132"/>
      <c r="L19" s="132"/>
      <c r="M19" s="132"/>
    </row>
    <row r="20" spans="1:13" ht="20.25" customHeight="1" x14ac:dyDescent="0.2">
      <c r="A20" s="114" t="s">
        <v>31</v>
      </c>
      <c r="B20" s="23"/>
      <c r="C20" s="23"/>
      <c r="D20" s="23"/>
      <c r="E20" s="23"/>
      <c r="F20" s="23"/>
      <c r="G20" s="132"/>
      <c r="H20" s="132"/>
      <c r="I20" s="132"/>
      <c r="J20" s="132"/>
      <c r="K20" s="132"/>
      <c r="L20" s="132"/>
      <c r="M20" s="132"/>
    </row>
    <row r="21" spans="1:13" ht="20.25" customHeight="1" x14ac:dyDescent="0.2">
      <c r="A21" s="100" t="s">
        <v>80</v>
      </c>
      <c r="B21" s="82"/>
      <c r="C21" s="82"/>
      <c r="D21" s="82"/>
      <c r="E21" s="82"/>
      <c r="F21" s="82"/>
      <c r="G21" s="132"/>
      <c r="H21" s="132"/>
      <c r="I21" s="132"/>
      <c r="J21" s="132"/>
      <c r="K21" s="132"/>
      <c r="L21" s="132"/>
      <c r="M21" s="132"/>
    </row>
    <row r="22" spans="1:13" ht="20.25" customHeight="1" x14ac:dyDescent="0.2">
      <c r="A22" s="100" t="s">
        <v>166</v>
      </c>
      <c r="B22" s="132"/>
      <c r="C22" s="132"/>
      <c r="D22" s="132"/>
      <c r="E22" s="132"/>
      <c r="F22" s="132"/>
      <c r="G22" s="132"/>
      <c r="H22" s="132"/>
      <c r="I22" s="132"/>
      <c r="J22" s="132"/>
      <c r="K22" s="132"/>
      <c r="L22" s="132"/>
      <c r="M22" s="132"/>
    </row>
    <row r="23" spans="1:13" ht="17" x14ac:dyDescent="0.2">
      <c r="A23" s="83" t="s">
        <v>221</v>
      </c>
      <c r="B23" s="108">
        <f>+B9+B10+B11+B12+B15+B16+B17+B21+B22</f>
        <v>0</v>
      </c>
      <c r="C23" s="207">
        <f t="shared" ref="C23" si="22">+C9+C10+C11+C12+C15+C16+C17+C21+C22</f>
        <v>0</v>
      </c>
      <c r="D23" s="108">
        <f t="shared" ref="D23" si="23">+D9+D10+D11+D12+D15+D16+D17+D21+D22</f>
        <v>0</v>
      </c>
      <c r="E23" s="116">
        <f t="shared" ref="E23" si="24">+E9+E10+E11+E12+E15+E16+E17+E21+E22</f>
        <v>0</v>
      </c>
      <c r="F23" s="116">
        <f t="shared" ref="F23" si="25">+F9+F10+F11+F12+F15+F16+F17+F21+F22</f>
        <v>0</v>
      </c>
      <c r="G23" s="132">
        <f t="shared" ref="G23" si="26">+G9+G10+G11+G12+G15+G16+G17+G21+G22</f>
        <v>0</v>
      </c>
      <c r="H23" s="132">
        <f t="shared" ref="H23" si="27">+H9+H10+H11+H12+H15+H16+H17+H21+H22</f>
        <v>0</v>
      </c>
      <c r="I23" s="132">
        <f t="shared" ref="I23" si="28">+I9+I10+I11+I12+I15+I16+I17+I21+I22</f>
        <v>0</v>
      </c>
      <c r="J23" s="132">
        <f t="shared" ref="J23" si="29">+J9+J10+J11+J12+J15+J16+J17+J21+J22</f>
        <v>0</v>
      </c>
      <c r="K23" s="132">
        <f t="shared" ref="K23" si="30">+K9+K10+K11+K12+K15+K16+K17+K21+K22</f>
        <v>0</v>
      </c>
      <c r="L23" s="132">
        <f t="shared" ref="L23" si="31">+L9+L10+L11+L12+L15+L16+L17+L21+L22</f>
        <v>0</v>
      </c>
      <c r="M23" s="132">
        <f t="shared" ref="M23" si="32">+M9+M10+M11+M12+M15+M16+M17+M21+M22</f>
        <v>0</v>
      </c>
    </row>
    <row r="24" spans="1:13" x14ac:dyDescent="0.2">
      <c r="A24" s="333" t="s">
        <v>8</v>
      </c>
      <c r="B24" s="333"/>
      <c r="C24" s="333"/>
      <c r="D24" s="155"/>
      <c r="G24" s="155"/>
      <c r="H24" s="155"/>
      <c r="I24" s="155"/>
      <c r="J24" s="348" t="s">
        <v>9</v>
      </c>
      <c r="K24" s="348"/>
      <c r="L24" s="348"/>
      <c r="M24" s="348"/>
    </row>
    <row r="25" spans="1:13" x14ac:dyDescent="0.2">
      <c r="A25" s="343" t="s">
        <v>229</v>
      </c>
      <c r="B25" s="343"/>
      <c r="C25" s="343"/>
      <c r="D25" s="155"/>
      <c r="G25" s="155"/>
      <c r="H25" s="155"/>
      <c r="I25" s="155"/>
      <c r="J25" s="276" t="s">
        <v>34</v>
      </c>
      <c r="K25" s="276"/>
      <c r="L25" s="276"/>
      <c r="M25" s="276"/>
    </row>
  </sheetData>
  <mergeCells count="14">
    <mergeCell ref="J25:M25"/>
    <mergeCell ref="A24:C24"/>
    <mergeCell ref="A25:C25"/>
    <mergeCell ref="L4:M4"/>
    <mergeCell ref="A5:A6"/>
    <mergeCell ref="A3:M3"/>
    <mergeCell ref="A8:M8"/>
    <mergeCell ref="J24:M24"/>
    <mergeCell ref="H1:M1"/>
    <mergeCell ref="E6:F6"/>
    <mergeCell ref="B6:D6"/>
    <mergeCell ref="G6:M6"/>
    <mergeCell ref="B5:M5"/>
    <mergeCell ref="H2:M2"/>
  </mergeCells>
  <pageMargins left="0.25" right="0.25" top="0.4" bottom="0.75" header="0.3" footer="0.3"/>
  <pageSetup paperSize="9" scale="88"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AD9C3-00FA-4602-892B-1DD1180F4CFA}">
  <sheetPr>
    <tabColor rgb="FFFFFF00"/>
    <pageSetUpPr fitToPage="1"/>
  </sheetPr>
  <dimension ref="A1:J40"/>
  <sheetViews>
    <sheetView tabSelected="1" zoomScale="115" zoomScaleNormal="115" workbookViewId="0">
      <selection activeCell="U13" sqref="U13"/>
    </sheetView>
  </sheetViews>
  <sheetFormatPr baseColWidth="10" defaultColWidth="8.83203125" defaultRowHeight="13" x14ac:dyDescent="0.15"/>
  <cols>
    <col min="1" max="1" width="53.6640625" style="46" customWidth="1"/>
    <col min="2" max="5" width="9.5" style="46" customWidth="1"/>
    <col min="6" max="16" width="0" style="27" hidden="1" customWidth="1"/>
    <col min="17" max="16384" width="8.83203125" style="27"/>
  </cols>
  <sheetData>
    <row r="1" spans="1:10" s="25" customFormat="1" ht="35.25" customHeight="1" x14ac:dyDescent="0.2">
      <c r="A1" s="213" t="s">
        <v>237</v>
      </c>
      <c r="B1" s="252" t="s">
        <v>0</v>
      </c>
      <c r="C1" s="252"/>
      <c r="D1" s="252"/>
      <c r="E1" s="252"/>
      <c r="G1" s="172" t="s">
        <v>242</v>
      </c>
    </row>
    <row r="2" spans="1:10" s="25" customFormat="1" ht="18" customHeight="1" x14ac:dyDescent="0.2">
      <c r="A2" s="26" t="s">
        <v>4</v>
      </c>
      <c r="B2" s="253" t="s">
        <v>239</v>
      </c>
      <c r="C2" s="253"/>
      <c r="D2" s="253"/>
      <c r="E2" s="253"/>
    </row>
    <row r="3" spans="1:10" s="25" customFormat="1" ht="32.25" customHeight="1" x14ac:dyDescent="0.2">
      <c r="A3" s="254" t="s">
        <v>227</v>
      </c>
      <c r="B3" s="254"/>
      <c r="C3" s="254"/>
      <c r="D3" s="255"/>
      <c r="E3" s="255"/>
    </row>
    <row r="4" spans="1:10" s="25" customFormat="1" ht="17" x14ac:dyDescent="0.2">
      <c r="A4" s="37"/>
      <c r="B4" s="37"/>
      <c r="C4" s="37"/>
      <c r="D4" s="37"/>
      <c r="E4" s="166" t="s">
        <v>184</v>
      </c>
    </row>
    <row r="5" spans="1:10" ht="17.25" customHeight="1" x14ac:dyDescent="0.15">
      <c r="A5" s="256" t="s">
        <v>42</v>
      </c>
      <c r="B5" s="257" t="s">
        <v>41</v>
      </c>
      <c r="C5" s="257"/>
      <c r="D5" s="257" t="s">
        <v>231</v>
      </c>
      <c r="E5" s="257"/>
    </row>
    <row r="6" spans="1:10" ht="25.5" customHeight="1" x14ac:dyDescent="0.15">
      <c r="A6" s="256"/>
      <c r="B6" s="38" t="s">
        <v>25</v>
      </c>
      <c r="C6" s="58" t="s">
        <v>84</v>
      </c>
      <c r="D6" s="38" t="s">
        <v>25</v>
      </c>
      <c r="E6" s="58" t="s">
        <v>84</v>
      </c>
    </row>
    <row r="7" spans="1:10" s="40" customFormat="1" ht="11.25" customHeight="1" x14ac:dyDescent="0.15">
      <c r="A7" s="39">
        <v>1</v>
      </c>
      <c r="B7" s="43"/>
      <c r="C7" s="43"/>
      <c r="D7" s="41"/>
      <c r="E7" s="44"/>
    </row>
    <row r="8" spans="1:10" ht="15" customHeight="1" x14ac:dyDescent="0.15">
      <c r="A8" s="43" t="s">
        <v>45</v>
      </c>
      <c r="B8" s="241">
        <f>SUM(B9:B13)</f>
        <v>0</v>
      </c>
      <c r="C8" s="241">
        <f t="shared" ref="C8:E8" si="0">SUM(C9:C13)</f>
        <v>0</v>
      </c>
      <c r="D8" s="241">
        <f t="shared" si="0"/>
        <v>0</v>
      </c>
      <c r="E8" s="241">
        <f t="shared" si="0"/>
        <v>0</v>
      </c>
      <c r="G8" s="159">
        <f>B8-B9-B10-B11-B12-B13</f>
        <v>0</v>
      </c>
      <c r="H8" s="159">
        <f t="shared" ref="H8:J8" si="1">C8-C9-C10-C11-C12-C13</f>
        <v>0</v>
      </c>
      <c r="I8" s="159">
        <f t="shared" si="1"/>
        <v>0</v>
      </c>
      <c r="J8" s="159">
        <f t="shared" si="1"/>
        <v>0</v>
      </c>
    </row>
    <row r="9" spans="1:10" ht="28" x14ac:dyDescent="0.15">
      <c r="A9" s="45" t="s">
        <v>46</v>
      </c>
      <c r="B9" s="242"/>
      <c r="C9" s="242"/>
      <c r="D9" s="243"/>
      <c r="E9" s="244"/>
    </row>
    <row r="10" spans="1:10" ht="14" x14ac:dyDescent="0.15">
      <c r="A10" s="45" t="s">
        <v>47</v>
      </c>
      <c r="B10" s="242"/>
      <c r="C10" s="242"/>
      <c r="D10" s="243"/>
      <c r="E10" s="244"/>
    </row>
    <row r="11" spans="1:10" ht="28" x14ac:dyDescent="0.15">
      <c r="A11" s="45" t="s">
        <v>48</v>
      </c>
      <c r="B11" s="242"/>
      <c r="C11" s="242"/>
      <c r="D11" s="243"/>
      <c r="E11" s="244"/>
    </row>
    <row r="12" spans="1:10" ht="14" x14ac:dyDescent="0.15">
      <c r="A12" s="45" t="s">
        <v>49</v>
      </c>
      <c r="B12" s="242"/>
      <c r="C12" s="242"/>
      <c r="D12" s="243"/>
      <c r="E12" s="244"/>
    </row>
    <row r="13" spans="1:10" ht="28" x14ac:dyDescent="0.15">
      <c r="A13" s="45" t="s">
        <v>50</v>
      </c>
      <c r="B13" s="242"/>
      <c r="C13" s="242"/>
      <c r="D13" s="243"/>
      <c r="E13" s="244"/>
    </row>
    <row r="14" spans="1:10" ht="15" customHeight="1" x14ac:dyDescent="0.15">
      <c r="A14" s="43" t="s">
        <v>58</v>
      </c>
      <c r="B14" s="241">
        <f>SUM(B15:B19)</f>
        <v>0</v>
      </c>
      <c r="C14" s="241">
        <f t="shared" ref="C14:E14" si="2">SUM(C15:C19)</f>
        <v>0</v>
      </c>
      <c r="D14" s="241">
        <f t="shared" si="2"/>
        <v>0</v>
      </c>
      <c r="E14" s="241">
        <f t="shared" si="2"/>
        <v>0</v>
      </c>
      <c r="G14" s="159">
        <f>B14-B15-B16-B17-B18-B19</f>
        <v>0</v>
      </c>
      <c r="H14" s="159">
        <f t="shared" ref="H14:J14" si="3">C14-C15-C16-C17-C18-C19</f>
        <v>0</v>
      </c>
      <c r="I14" s="159">
        <f t="shared" si="3"/>
        <v>0</v>
      </c>
      <c r="J14" s="159">
        <f t="shared" si="3"/>
        <v>0</v>
      </c>
    </row>
    <row r="15" spans="1:10" ht="15" customHeight="1" x14ac:dyDescent="0.15">
      <c r="A15" s="42" t="s">
        <v>51</v>
      </c>
      <c r="B15" s="246"/>
      <c r="C15" s="246"/>
      <c r="D15" s="245"/>
      <c r="E15" s="244"/>
    </row>
    <row r="16" spans="1:10" ht="15" customHeight="1" x14ac:dyDescent="0.15">
      <c r="A16" s="42" t="s">
        <v>44</v>
      </c>
      <c r="B16" s="246"/>
      <c r="C16" s="246"/>
      <c r="D16" s="245"/>
      <c r="E16" s="244"/>
    </row>
    <row r="17" spans="1:10" ht="15" customHeight="1" x14ac:dyDescent="0.15">
      <c r="A17" s="42" t="s">
        <v>43</v>
      </c>
      <c r="B17" s="246"/>
      <c r="C17" s="246"/>
      <c r="D17" s="245"/>
      <c r="E17" s="244"/>
    </row>
    <row r="18" spans="1:10" ht="15" customHeight="1" x14ac:dyDescent="0.15">
      <c r="A18" s="42" t="s">
        <v>52</v>
      </c>
      <c r="B18" s="246"/>
      <c r="C18" s="246"/>
      <c r="D18" s="245"/>
      <c r="E18" s="244"/>
    </row>
    <row r="19" spans="1:10" ht="14" x14ac:dyDescent="0.15">
      <c r="A19" s="45" t="s">
        <v>53</v>
      </c>
      <c r="B19" s="242"/>
      <c r="C19" s="242"/>
      <c r="D19" s="243"/>
      <c r="E19" s="244"/>
    </row>
    <row r="20" spans="1:10" ht="19" x14ac:dyDescent="0.15">
      <c r="A20" s="51" t="s">
        <v>57</v>
      </c>
      <c r="B20" s="242">
        <f>+B21+B22</f>
        <v>0</v>
      </c>
      <c r="C20" s="247"/>
      <c r="D20" s="243">
        <f>+D21+D22</f>
        <v>0</v>
      </c>
      <c r="E20" s="247"/>
      <c r="G20" s="159">
        <f>B20-G21-G22</f>
        <v>0</v>
      </c>
      <c r="H20" s="159">
        <f t="shared" ref="H20:J20" si="4">C20-H21-H22</f>
        <v>0</v>
      </c>
      <c r="I20" s="159">
        <f t="shared" si="4"/>
        <v>0</v>
      </c>
      <c r="J20" s="159">
        <f t="shared" si="4"/>
        <v>0</v>
      </c>
    </row>
    <row r="21" spans="1:10" ht="19" x14ac:dyDescent="0.15">
      <c r="A21" s="52" t="s">
        <v>66</v>
      </c>
      <c r="B21" s="242"/>
      <c r="C21" s="247"/>
      <c r="D21" s="243"/>
      <c r="E21" s="247"/>
    </row>
    <row r="22" spans="1:10" ht="28" x14ac:dyDescent="0.15">
      <c r="A22" s="52" t="s">
        <v>67</v>
      </c>
      <c r="B22" s="242">
        <f>SUM(B23:B29)</f>
        <v>0</v>
      </c>
      <c r="C22" s="247"/>
      <c r="D22" s="243">
        <f>SUM(D23:D29)</f>
        <v>0</v>
      </c>
      <c r="E22" s="247"/>
      <c r="G22" s="159">
        <f>B22-B23-B24-B25-B26-B27-B28-B29</f>
        <v>0</v>
      </c>
      <c r="H22" s="159">
        <f t="shared" ref="H22:J22" si="5">C22-C23-C24-C25-C26-C27-C28-C29</f>
        <v>0</v>
      </c>
      <c r="I22" s="159">
        <f t="shared" si="5"/>
        <v>0</v>
      </c>
      <c r="J22" s="159">
        <f t="shared" si="5"/>
        <v>0</v>
      </c>
    </row>
    <row r="23" spans="1:10" ht="19" x14ac:dyDescent="0.15">
      <c r="A23" s="45" t="s">
        <v>59</v>
      </c>
      <c r="B23" s="242"/>
      <c r="C23" s="247"/>
      <c r="D23" s="243"/>
      <c r="E23" s="247"/>
    </row>
    <row r="24" spans="1:10" ht="28" x14ac:dyDescent="0.15">
      <c r="A24" s="45" t="s">
        <v>60</v>
      </c>
      <c r="B24" s="242"/>
      <c r="C24" s="247"/>
      <c r="D24" s="243"/>
      <c r="E24" s="247"/>
    </row>
    <row r="25" spans="1:10" ht="28" x14ac:dyDescent="0.15">
      <c r="A25" s="45" t="s">
        <v>61</v>
      </c>
      <c r="B25" s="242"/>
      <c r="C25" s="247"/>
      <c r="D25" s="243"/>
      <c r="E25" s="247"/>
    </row>
    <row r="26" spans="1:10" ht="42" x14ac:dyDescent="0.15">
      <c r="A26" s="45" t="s">
        <v>62</v>
      </c>
      <c r="B26" s="242"/>
      <c r="C26" s="247"/>
      <c r="D26" s="243"/>
      <c r="E26" s="247"/>
    </row>
    <row r="27" spans="1:10" ht="42" x14ac:dyDescent="0.15">
      <c r="A27" s="45" t="s">
        <v>63</v>
      </c>
      <c r="B27" s="242"/>
      <c r="C27" s="247"/>
      <c r="D27" s="243"/>
      <c r="E27" s="247"/>
    </row>
    <row r="28" spans="1:10" ht="28" x14ac:dyDescent="0.15">
      <c r="A28" s="45" t="s">
        <v>64</v>
      </c>
      <c r="B28" s="242"/>
      <c r="C28" s="247"/>
      <c r="D28" s="243"/>
      <c r="E28" s="247"/>
    </row>
    <row r="29" spans="1:10" ht="19" x14ac:dyDescent="0.15">
      <c r="A29" s="45" t="s">
        <v>65</v>
      </c>
      <c r="B29" s="248"/>
      <c r="C29" s="247"/>
      <c r="D29" s="248"/>
      <c r="E29" s="247"/>
    </row>
    <row r="30" spans="1:10" ht="19" x14ac:dyDescent="0.15">
      <c r="A30" s="54" t="s">
        <v>68</v>
      </c>
      <c r="B30" s="248">
        <f>+B31+B32</f>
        <v>0</v>
      </c>
      <c r="C30" s="247"/>
      <c r="D30" s="248">
        <f>+D31+D32</f>
        <v>0</v>
      </c>
      <c r="E30" s="247"/>
      <c r="G30" s="158">
        <f>B30-B31-B32</f>
        <v>0</v>
      </c>
      <c r="H30" s="158">
        <f t="shared" ref="H30:J30" si="6">C30-C31-C32</f>
        <v>0</v>
      </c>
      <c r="I30" s="158">
        <f t="shared" si="6"/>
        <v>0</v>
      </c>
      <c r="J30" s="158">
        <f t="shared" si="6"/>
        <v>0</v>
      </c>
    </row>
    <row r="31" spans="1:10" ht="19" x14ac:dyDescent="0.15">
      <c r="A31" s="55" t="s">
        <v>69</v>
      </c>
      <c r="B31" s="248"/>
      <c r="C31" s="247"/>
      <c r="D31" s="248"/>
      <c r="E31" s="247"/>
    </row>
    <row r="32" spans="1:10" ht="19" x14ac:dyDescent="0.15">
      <c r="A32" s="55" t="s">
        <v>70</v>
      </c>
      <c r="B32" s="248">
        <f>SUM(B33:B35)</f>
        <v>0</v>
      </c>
      <c r="C32" s="247"/>
      <c r="D32" s="248">
        <f>SUM(D33:D35)</f>
        <v>0</v>
      </c>
      <c r="E32" s="247"/>
      <c r="G32" s="158">
        <f>B32-B33-B34-B35</f>
        <v>0</v>
      </c>
      <c r="H32" s="158">
        <f t="shared" ref="H32:J32" si="7">C32-C33-C34-C35</f>
        <v>0</v>
      </c>
      <c r="I32" s="158">
        <f t="shared" si="7"/>
        <v>0</v>
      </c>
      <c r="J32" s="158">
        <f t="shared" si="7"/>
        <v>0</v>
      </c>
    </row>
    <row r="33" spans="1:5" ht="19" x14ac:dyDescent="0.15">
      <c r="A33" s="56" t="s">
        <v>71</v>
      </c>
      <c r="B33" s="248"/>
      <c r="C33" s="247"/>
      <c r="D33" s="248"/>
      <c r="E33" s="247"/>
    </row>
    <row r="34" spans="1:5" ht="19" x14ac:dyDescent="0.15">
      <c r="A34" s="56" t="s">
        <v>72</v>
      </c>
      <c r="B34" s="248"/>
      <c r="C34" s="247"/>
      <c r="D34" s="248"/>
      <c r="E34" s="247"/>
    </row>
    <row r="35" spans="1:5" ht="19" x14ac:dyDescent="0.15">
      <c r="A35" s="56" t="s">
        <v>73</v>
      </c>
      <c r="B35" s="248"/>
      <c r="C35" s="247"/>
      <c r="D35" s="248"/>
      <c r="E35" s="247"/>
    </row>
    <row r="36" spans="1:5" x14ac:dyDescent="0.15">
      <c r="A36" s="53"/>
      <c r="B36" s="50"/>
      <c r="C36" s="50"/>
      <c r="D36" s="50"/>
      <c r="E36" s="50"/>
    </row>
    <row r="37" spans="1:5" ht="28.25" customHeight="1" x14ac:dyDescent="0.15">
      <c r="A37" s="249" t="s">
        <v>54</v>
      </c>
      <c r="B37" s="249"/>
      <c r="C37" s="249"/>
      <c r="D37" s="249"/>
      <c r="E37" s="249"/>
    </row>
    <row r="38" spans="1:5" ht="16" x14ac:dyDescent="0.15">
      <c r="A38" s="35" t="s">
        <v>8</v>
      </c>
      <c r="C38" s="250" t="s">
        <v>9</v>
      </c>
      <c r="D38" s="250"/>
      <c r="E38" s="250"/>
    </row>
    <row r="39" spans="1:5" ht="28" x14ac:dyDescent="0.15">
      <c r="A39" s="36" t="s">
        <v>33</v>
      </c>
      <c r="C39" s="251" t="s">
        <v>34</v>
      </c>
      <c r="D39" s="251"/>
      <c r="E39" s="251"/>
    </row>
    <row r="40" spans="1:5" x14ac:dyDescent="0.15">
      <c r="A40" s="27"/>
    </row>
  </sheetData>
  <mergeCells count="9">
    <mergeCell ref="A37:E37"/>
    <mergeCell ref="C38:E38"/>
    <mergeCell ref="C39:E39"/>
    <mergeCell ref="B1:E1"/>
    <mergeCell ref="B2:E2"/>
    <mergeCell ref="A3:E3"/>
    <mergeCell ref="A5:A6"/>
    <mergeCell ref="B5:C5"/>
    <mergeCell ref="D5:E5"/>
  </mergeCells>
  <dataValidations count="1">
    <dataValidation type="whole" operator="greaterThanOrEqual" allowBlank="1" showInputMessage="1" showErrorMessage="1" errorTitle="Lỗi" error="Chỉ nhập giá trị là số, lớn hơn hoặc bằng 0" sqref="D9:D13 D15:D28" xr:uid="{394DE616-C054-454A-B63F-0510C7C4E401}">
      <formula1>0</formula1>
    </dataValidation>
  </dataValidations>
  <pageMargins left="0.39" right="0.27" top="0.49" bottom="0.35" header="0.3" footer="0.35"/>
  <pageSetup paperSize="9" scale="97"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6885E-8F27-405F-905A-1F179717D4C2}">
  <dimension ref="A1"/>
  <sheetViews>
    <sheetView workbookViewId="0">
      <selection activeCell="K28" sqref="K28"/>
    </sheetView>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1B</vt:lpstr>
      <vt:lpstr>1C</vt:lpstr>
      <vt:lpstr>1D</vt:lpstr>
      <vt:lpstr>2B</vt:lpstr>
      <vt:lpstr>2C</vt:lpstr>
      <vt:lpstr>3</vt:lpstr>
      <vt:lpstr>4B</vt:lpstr>
      <vt:lpstr>4C</vt:lpstr>
      <vt:lpstr>5A</vt:lpstr>
      <vt:lpstr>5B</vt:lpstr>
      <vt:lpstr>6</vt:lpstr>
      <vt:lpstr>7</vt:lpstr>
      <vt:lpstr>Sheet1</vt:lpstr>
      <vt:lpstr>'1B'!Print_Area</vt:lpstr>
      <vt:lpstr>'1C'!Print_Area</vt:lpstr>
      <vt:lpstr>'1D'!Print_Area</vt:lpstr>
      <vt:lpstr>'2B'!Print_Area</vt:lpstr>
      <vt:lpstr>'2C'!Print_Area</vt:lpstr>
      <vt:lpstr>'3'!Print_Area</vt:lpstr>
      <vt:lpstr>'4B'!Print_Area</vt:lpstr>
      <vt:lpstr>'4C'!Print_Area</vt:lpstr>
      <vt:lpstr>'5A'!Print_Area</vt:lpstr>
      <vt:lpstr>'5B'!Print_Area</vt:lpstr>
      <vt:lpstr>'6'!Print_Area</vt:lpstr>
      <vt:lpstr>'7'!Print_Area</vt:lpstr>
      <vt:lpstr>'1B'!Print_Titles</vt:lpstr>
      <vt:lpstr>'2B'!Print_Titles</vt:lpstr>
      <vt:lpstr>'7'!Print_Titles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THAI HUNG</dc:creator>
  <cp:lastModifiedBy>Microsoft Office User</cp:lastModifiedBy>
  <cp:lastPrinted>2026-03-16T09:10:41Z</cp:lastPrinted>
  <dcterms:created xsi:type="dcterms:W3CDTF">2021-08-20T07:01:57Z</dcterms:created>
  <dcterms:modified xsi:type="dcterms:W3CDTF">2026-03-24T16:46:46Z</dcterms:modified>
</cp:coreProperties>
</file>